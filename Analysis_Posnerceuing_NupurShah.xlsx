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esktop/Psychopy/Solo Project/"/>
    </mc:Choice>
  </mc:AlternateContent>
  <xr:revisionPtr revIDLastSave="0" documentId="13_ncr:1_{7E73B338-007C-034E-B737-F124E468A7FA}" xr6:coauthVersionLast="47" xr6:coauthVersionMax="47" xr10:uidLastSave="{00000000-0000-0000-0000-000000000000}"/>
  <bookViews>
    <workbookView xWindow="4340" yWindow="500" windowWidth="24460" windowHeight="16260" activeTab="5" xr2:uid="{0983CD92-C38B-FC48-A0D8-1F7D112B1A32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6" l="1"/>
  <c r="K7" i="6"/>
  <c r="I7" i="6"/>
  <c r="H7" i="6"/>
  <c r="J7" i="6"/>
  <c r="G7" i="6"/>
  <c r="D7" i="6"/>
  <c r="C7" i="6"/>
  <c r="P6" i="5"/>
  <c r="O6" i="5"/>
  <c r="P6" i="4"/>
  <c r="O6" i="4"/>
  <c r="Q6" i="3"/>
  <c r="P6" i="3"/>
  <c r="P6" i="2"/>
  <c r="O6" i="2"/>
  <c r="P6" i="1"/>
  <c r="O6" i="1"/>
  <c r="E99" i="1"/>
  <c r="G15" i="6"/>
  <c r="G14" i="6"/>
  <c r="G13" i="6"/>
  <c r="G12" i="6"/>
  <c r="G11" i="6"/>
  <c r="J57" i="5"/>
  <c r="I57" i="5"/>
  <c r="J56" i="5"/>
  <c r="I56" i="5"/>
  <c r="J55" i="5"/>
  <c r="I55" i="5"/>
  <c r="J57" i="4"/>
  <c r="I57" i="4"/>
  <c r="J56" i="4"/>
  <c r="I56" i="4"/>
  <c r="J55" i="4"/>
  <c r="I55" i="4"/>
  <c r="I55" i="3"/>
  <c r="J57" i="3"/>
  <c r="I57" i="3"/>
  <c r="J56" i="3"/>
  <c r="I56" i="3"/>
  <c r="J55" i="3"/>
  <c r="I55" i="2"/>
  <c r="J57" i="2"/>
  <c r="I57" i="2"/>
  <c r="J56" i="2"/>
  <c r="I56" i="2"/>
  <c r="J55" i="2"/>
  <c r="J58" i="1"/>
  <c r="J57" i="1"/>
  <c r="J56" i="1"/>
  <c r="I58" i="1"/>
  <c r="I57" i="1"/>
  <c r="I56" i="1"/>
  <c r="D6" i="6"/>
  <c r="C6" i="6"/>
  <c r="D5" i="6"/>
  <c r="C5" i="6"/>
  <c r="D4" i="6"/>
  <c r="C4" i="6"/>
  <c r="D3" i="6"/>
  <c r="C3" i="6"/>
  <c r="D2" i="6"/>
  <c r="C2" i="6"/>
  <c r="M52" i="5"/>
  <c r="J52" i="5"/>
  <c r="J52" i="4"/>
  <c r="M52" i="4"/>
  <c r="M52" i="3"/>
  <c r="J52" i="3"/>
  <c r="M52" i="2"/>
  <c r="J52" i="2"/>
  <c r="L52" i="1"/>
  <c r="I52" i="1"/>
</calcChain>
</file>

<file path=xl/sharedStrings.xml><?xml version="1.0" encoding="utf-8"?>
<sst xmlns="http://schemas.openxmlformats.org/spreadsheetml/2006/main" count="2028" uniqueCount="32">
  <si>
    <t>validity</t>
  </si>
  <si>
    <t>targetSide</t>
  </si>
  <si>
    <t>cueDur_ms</t>
  </si>
  <si>
    <t>valid</t>
  </si>
  <si>
    <t>left</t>
  </si>
  <si>
    <t>right</t>
  </si>
  <si>
    <t>invalid</t>
  </si>
  <si>
    <t>response_key.keys</t>
  </si>
  <si>
    <t>z</t>
  </si>
  <si>
    <t>m</t>
  </si>
  <si>
    <t>response_key.corr</t>
  </si>
  <si>
    <t>response_key.rt</t>
  </si>
  <si>
    <t>AVERAGE</t>
  </si>
  <si>
    <t>AERAGE</t>
  </si>
  <si>
    <t>VALID</t>
  </si>
  <si>
    <t>INVALID</t>
  </si>
  <si>
    <t>PARTICIPANT</t>
  </si>
  <si>
    <t>CUE</t>
  </si>
  <si>
    <t>V_50</t>
  </si>
  <si>
    <t>V_100</t>
  </si>
  <si>
    <t>V_150</t>
  </si>
  <si>
    <t>I_50</t>
  </si>
  <si>
    <t>I_100</t>
  </si>
  <si>
    <t>I_150</t>
  </si>
  <si>
    <t>P5</t>
  </si>
  <si>
    <t>P3</t>
  </si>
  <si>
    <t>P1</t>
  </si>
  <si>
    <t>P2</t>
  </si>
  <si>
    <t>P4</t>
  </si>
  <si>
    <t xml:space="preserve">acurracy </t>
  </si>
  <si>
    <t>ACCURACY</t>
  </si>
  <si>
    <t xml:space="preserve">               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</si>
</sst>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9BC5-389F-214F-A835-BFCB4B990AD2}">
  <dimension ref="A1:P99"/>
  <sheetViews>
    <sheetView workbookViewId="0">
      <selection activeCell="O6" sqref="O6:P6"/>
    </sheetView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7</v>
      </c>
      <c r="E1" s="1" t="s">
        <v>10</v>
      </c>
      <c r="F1" s="1" t="s">
        <v>11</v>
      </c>
    </row>
    <row r="2" spans="1:16">
      <c r="A2" s="2"/>
      <c r="B2" s="2"/>
      <c r="C2" s="2"/>
      <c r="D2" s="2"/>
      <c r="E2" s="2"/>
      <c r="F2" s="2"/>
      <c r="H2" s="1" t="s">
        <v>0</v>
      </c>
      <c r="I2" s="1" t="s">
        <v>11</v>
      </c>
      <c r="K2" s="1" t="s">
        <v>0</v>
      </c>
      <c r="L2" s="1" t="s">
        <v>11</v>
      </c>
    </row>
    <row r="3" spans="1:16">
      <c r="A3" s="3" t="s">
        <v>6</v>
      </c>
      <c r="B3" s="3" t="s">
        <v>4</v>
      </c>
      <c r="C3" s="3">
        <v>150</v>
      </c>
      <c r="D3" s="3" t="s">
        <v>8</v>
      </c>
      <c r="E3" s="3">
        <v>1</v>
      </c>
      <c r="F3" s="3">
        <v>0.16488412499893501</v>
      </c>
    </row>
    <row r="4" spans="1:16">
      <c r="A4" s="3" t="s">
        <v>6</v>
      </c>
      <c r="B4" s="3" t="s">
        <v>4</v>
      </c>
      <c r="C4" s="3">
        <v>100</v>
      </c>
      <c r="D4" s="3" t="s">
        <v>8</v>
      </c>
      <c r="E4" s="3">
        <v>1</v>
      </c>
      <c r="F4" s="3">
        <v>0.40327333303866902</v>
      </c>
      <c r="H4" s="3" t="s">
        <v>6</v>
      </c>
      <c r="I4" s="3">
        <v>0.16488412499893501</v>
      </c>
      <c r="K4" s="3" t="s">
        <v>3</v>
      </c>
      <c r="L4" s="3">
        <v>0.18694083299487799</v>
      </c>
    </row>
    <row r="5" spans="1:16">
      <c r="A5" s="3" t="s">
        <v>6</v>
      </c>
      <c r="B5" s="3" t="s">
        <v>5</v>
      </c>
      <c r="C5" s="3">
        <v>50</v>
      </c>
      <c r="D5" s="3" t="s">
        <v>9</v>
      </c>
      <c r="E5" s="3">
        <v>1</v>
      </c>
      <c r="F5" s="3">
        <v>0.40949554095277602</v>
      </c>
      <c r="H5" s="3" t="s">
        <v>6</v>
      </c>
      <c r="I5" s="3">
        <v>0.40327333303866902</v>
      </c>
      <c r="K5" s="3" t="s">
        <v>3</v>
      </c>
      <c r="L5" s="3">
        <v>0.21561791596468499</v>
      </c>
      <c r="O5" t="s">
        <v>3</v>
      </c>
      <c r="P5" t="s">
        <v>6</v>
      </c>
    </row>
    <row r="6" spans="1:16">
      <c r="A6" s="3" t="s">
        <v>6</v>
      </c>
      <c r="B6" s="3" t="s">
        <v>5</v>
      </c>
      <c r="C6" s="3">
        <v>100</v>
      </c>
      <c r="D6" s="3" t="s">
        <v>8</v>
      </c>
      <c r="E6" s="3">
        <v>1</v>
      </c>
      <c r="F6" s="3">
        <v>0.149988873978145</v>
      </c>
      <c r="H6" s="3" t="s">
        <v>6</v>
      </c>
      <c r="I6" s="3">
        <v>0.40949554095277602</v>
      </c>
      <c r="K6" s="3" t="s">
        <v>3</v>
      </c>
      <c r="L6" s="3">
        <v>0.16298399999504901</v>
      </c>
      <c r="N6" t="s">
        <v>29</v>
      </c>
      <c r="O6">
        <f>AVERAGE(E10:E50)*100</f>
        <v>100</v>
      </c>
      <c r="P6">
        <f>AVERAGE(E51:E98)*100</f>
        <v>95.833333333333343</v>
      </c>
    </row>
    <row r="7" spans="1:16">
      <c r="A7" s="3" t="s">
        <v>6</v>
      </c>
      <c r="B7" s="3" t="s">
        <v>4</v>
      </c>
      <c r="C7" s="3">
        <v>50</v>
      </c>
      <c r="D7" s="3" t="s">
        <v>8</v>
      </c>
      <c r="E7" s="3">
        <v>1</v>
      </c>
      <c r="F7" s="3">
        <v>0.33792566601187002</v>
      </c>
      <c r="H7" s="3" t="s">
        <v>6</v>
      </c>
      <c r="I7" s="3">
        <v>0.149988873978145</v>
      </c>
      <c r="K7" s="3" t="s">
        <v>3</v>
      </c>
      <c r="L7" s="3">
        <v>0.176175748987589</v>
      </c>
    </row>
    <row r="8" spans="1:16">
      <c r="A8" s="3" t="s">
        <v>6</v>
      </c>
      <c r="B8" s="3" t="s">
        <v>5</v>
      </c>
      <c r="C8" s="3">
        <v>150</v>
      </c>
      <c r="D8" s="3" t="s">
        <v>9</v>
      </c>
      <c r="E8" s="3">
        <v>1</v>
      </c>
      <c r="F8" s="3">
        <v>0.34264333301689498</v>
      </c>
      <c r="H8" s="3" t="s">
        <v>6</v>
      </c>
      <c r="I8" s="3">
        <v>0.33792566601187002</v>
      </c>
      <c r="K8" s="3" t="s">
        <v>3</v>
      </c>
      <c r="L8" s="3">
        <v>0.285857707960531</v>
      </c>
    </row>
    <row r="9" spans="1:16">
      <c r="A9" s="3" t="s">
        <v>6</v>
      </c>
      <c r="B9" s="3" t="s">
        <v>5</v>
      </c>
      <c r="C9" s="3">
        <v>100</v>
      </c>
      <c r="D9" s="3" t="s">
        <v>8</v>
      </c>
      <c r="E9" s="3">
        <v>1</v>
      </c>
      <c r="F9" s="3">
        <v>0.37341229204321302</v>
      </c>
      <c r="H9" s="3" t="s">
        <v>6</v>
      </c>
      <c r="I9" s="3">
        <v>0.34264333301689498</v>
      </c>
      <c r="K9" s="3" t="s">
        <v>3</v>
      </c>
      <c r="L9" s="3">
        <v>0.23170579096768101</v>
      </c>
    </row>
    <row r="10" spans="1:16">
      <c r="A10" s="3" t="s">
        <v>6</v>
      </c>
      <c r="B10" s="3" t="s">
        <v>5</v>
      </c>
      <c r="C10" s="3">
        <v>50</v>
      </c>
      <c r="D10" s="3" t="s">
        <v>9</v>
      </c>
      <c r="E10" s="3">
        <v>1</v>
      </c>
      <c r="F10" s="3">
        <v>0.30058374896179901</v>
      </c>
      <c r="H10" s="3" t="s">
        <v>6</v>
      </c>
      <c r="I10" s="3">
        <v>0.37341229204321302</v>
      </c>
      <c r="K10" s="3" t="s">
        <v>3</v>
      </c>
      <c r="L10" s="3">
        <v>0.35026879102224501</v>
      </c>
    </row>
    <row r="11" spans="1:16">
      <c r="A11" s="3" t="s">
        <v>6</v>
      </c>
      <c r="B11" s="3" t="s">
        <v>5</v>
      </c>
      <c r="C11" s="3">
        <v>150</v>
      </c>
      <c r="D11" s="3" t="s">
        <v>9</v>
      </c>
      <c r="E11" s="3">
        <v>1</v>
      </c>
      <c r="F11" s="3">
        <v>0.309600873966701</v>
      </c>
      <c r="H11" s="3" t="s">
        <v>6</v>
      </c>
      <c r="I11" s="3">
        <v>0.30058374896179901</v>
      </c>
      <c r="K11" s="3" t="s">
        <v>3</v>
      </c>
      <c r="L11" s="3">
        <v>0.32809787499718401</v>
      </c>
    </row>
    <row r="12" spans="1:16">
      <c r="A12" s="3" t="s">
        <v>6</v>
      </c>
      <c r="B12" s="3" t="s">
        <v>5</v>
      </c>
      <c r="C12" s="3">
        <v>150</v>
      </c>
      <c r="D12" s="3" t="s">
        <v>9</v>
      </c>
      <c r="E12" s="3">
        <v>1</v>
      </c>
      <c r="F12" s="3">
        <v>6.8488083023112295E-2</v>
      </c>
      <c r="H12" s="3" t="s">
        <v>6</v>
      </c>
      <c r="I12" s="3">
        <v>0.309600873966701</v>
      </c>
      <c r="K12" s="3" t="s">
        <v>3</v>
      </c>
      <c r="L12" s="3">
        <v>0.20430104096885801</v>
      </c>
    </row>
    <row r="13" spans="1:16">
      <c r="A13" s="3" t="s">
        <v>6</v>
      </c>
      <c r="B13" s="3" t="s">
        <v>5</v>
      </c>
      <c r="C13" s="3">
        <v>150</v>
      </c>
      <c r="D13" s="3" t="s">
        <v>9</v>
      </c>
      <c r="E13" s="3">
        <v>1</v>
      </c>
      <c r="F13" s="3">
        <v>6.1138291959650801E-2</v>
      </c>
      <c r="H13" s="3" t="s">
        <v>6</v>
      </c>
      <c r="I13" s="3">
        <v>6.8488083023112295E-2</v>
      </c>
      <c r="K13" s="3" t="s">
        <v>3</v>
      </c>
      <c r="L13" s="3">
        <v>0.13616570795420599</v>
      </c>
    </row>
    <row r="14" spans="1:16">
      <c r="A14" s="3" t="s">
        <v>6</v>
      </c>
      <c r="B14" s="3" t="s">
        <v>4</v>
      </c>
      <c r="C14" s="3">
        <v>150</v>
      </c>
      <c r="D14" s="3" t="s">
        <v>8</v>
      </c>
      <c r="E14" s="3">
        <v>1</v>
      </c>
      <c r="F14" s="3">
        <v>0.117489582975395</v>
      </c>
      <c r="H14" s="3" t="s">
        <v>6</v>
      </c>
      <c r="I14" s="3">
        <v>6.1138291959650801E-2</v>
      </c>
      <c r="K14" s="3" t="s">
        <v>3</v>
      </c>
      <c r="L14" s="3">
        <v>0.405829707975499</v>
      </c>
    </row>
    <row r="15" spans="1:16">
      <c r="A15" s="3" t="s">
        <v>6</v>
      </c>
      <c r="B15" s="3" t="s">
        <v>5</v>
      </c>
      <c r="C15" s="3">
        <v>50</v>
      </c>
      <c r="D15" s="3" t="s">
        <v>9</v>
      </c>
      <c r="E15" s="3">
        <v>1</v>
      </c>
      <c r="F15" s="3">
        <v>0.15071029198588801</v>
      </c>
      <c r="H15" s="3" t="s">
        <v>6</v>
      </c>
      <c r="I15" s="3">
        <v>0.117489582975395</v>
      </c>
      <c r="K15" s="3" t="s">
        <v>3</v>
      </c>
      <c r="L15" s="3">
        <v>0.101562375028152</v>
      </c>
    </row>
    <row r="16" spans="1:16">
      <c r="A16" s="3" t="s">
        <v>6</v>
      </c>
      <c r="B16" s="3" t="s">
        <v>4</v>
      </c>
      <c r="C16" s="3">
        <v>150</v>
      </c>
      <c r="D16" s="3" t="s">
        <v>8</v>
      </c>
      <c r="E16" s="3">
        <v>1</v>
      </c>
      <c r="F16" s="3">
        <v>9.5833666040562093E-2</v>
      </c>
      <c r="H16" s="3" t="s">
        <v>6</v>
      </c>
      <c r="I16" s="3">
        <v>0.15071029198588801</v>
      </c>
      <c r="K16" s="3" t="s">
        <v>3</v>
      </c>
      <c r="L16" s="3">
        <v>0.43618733301991602</v>
      </c>
    </row>
    <row r="17" spans="1:12">
      <c r="A17" s="3" t="s">
        <v>6</v>
      </c>
      <c r="B17" s="3" t="s">
        <v>4</v>
      </c>
      <c r="C17" s="3">
        <v>100</v>
      </c>
      <c r="D17" s="3" t="s">
        <v>8</v>
      </c>
      <c r="E17" s="3">
        <v>1</v>
      </c>
      <c r="F17" s="3">
        <v>0.18779966700822101</v>
      </c>
      <c r="H17" s="3" t="s">
        <v>6</v>
      </c>
      <c r="I17" s="3">
        <v>9.5833666040562093E-2</v>
      </c>
      <c r="K17" s="3" t="s">
        <v>3</v>
      </c>
      <c r="L17" s="3">
        <v>0.22571258299285499</v>
      </c>
    </row>
    <row r="18" spans="1:12">
      <c r="A18" s="3" t="s">
        <v>6</v>
      </c>
      <c r="B18" s="3" t="s">
        <v>5</v>
      </c>
      <c r="C18" s="3">
        <v>100</v>
      </c>
      <c r="D18" s="3" t="s">
        <v>9</v>
      </c>
      <c r="E18" s="3">
        <v>1</v>
      </c>
      <c r="F18" s="3">
        <v>0.15312158298911499</v>
      </c>
      <c r="H18" s="3" t="s">
        <v>6</v>
      </c>
      <c r="I18" s="3">
        <v>0.18779966700822101</v>
      </c>
      <c r="K18" s="3" t="s">
        <v>3</v>
      </c>
      <c r="L18" s="3">
        <v>0.34744512499310098</v>
      </c>
    </row>
    <row r="19" spans="1:12">
      <c r="A19" s="3" t="s">
        <v>6</v>
      </c>
      <c r="B19" s="3" t="s">
        <v>4</v>
      </c>
      <c r="C19" s="3">
        <v>100</v>
      </c>
      <c r="D19" s="3" t="s">
        <v>8</v>
      </c>
      <c r="E19" s="3">
        <v>1</v>
      </c>
      <c r="F19" s="3">
        <v>1.2192096670041801</v>
      </c>
      <c r="H19" s="3" t="s">
        <v>6</v>
      </c>
      <c r="I19" s="3">
        <v>0.15312158298911499</v>
      </c>
      <c r="K19" s="3" t="s">
        <v>3</v>
      </c>
      <c r="L19" s="3">
        <v>0.25530729099409699</v>
      </c>
    </row>
    <row r="20" spans="1:12">
      <c r="A20" s="3" t="s">
        <v>6</v>
      </c>
      <c r="B20" s="3" t="s">
        <v>4</v>
      </c>
      <c r="C20" s="3">
        <v>150</v>
      </c>
      <c r="D20" s="3" t="s">
        <v>8</v>
      </c>
      <c r="E20" s="3">
        <v>1</v>
      </c>
      <c r="F20" s="3">
        <v>0.23018625000258899</v>
      </c>
      <c r="H20" s="3" t="s">
        <v>6</v>
      </c>
      <c r="I20" s="3">
        <v>1.2192096670041801</v>
      </c>
      <c r="K20" s="3" t="s">
        <v>3</v>
      </c>
      <c r="L20" s="3">
        <v>0.23767449898878101</v>
      </c>
    </row>
    <row r="21" spans="1:12">
      <c r="A21" s="3" t="s">
        <v>6</v>
      </c>
      <c r="B21" s="3" t="s">
        <v>5</v>
      </c>
      <c r="C21" s="3">
        <v>50</v>
      </c>
      <c r="D21" s="3" t="s">
        <v>9</v>
      </c>
      <c r="E21" s="3">
        <v>1</v>
      </c>
      <c r="F21" s="3">
        <v>0.69264124997425802</v>
      </c>
      <c r="H21" s="3" t="s">
        <v>6</v>
      </c>
      <c r="I21" s="3">
        <v>0.23018625000258899</v>
      </c>
      <c r="K21" s="3" t="s">
        <v>3</v>
      </c>
      <c r="L21" s="3">
        <v>0.40451212500920503</v>
      </c>
    </row>
    <row r="22" spans="1:12">
      <c r="A22" s="3" t="s">
        <v>6</v>
      </c>
      <c r="B22" s="3" t="s">
        <v>5</v>
      </c>
      <c r="C22" s="3">
        <v>150</v>
      </c>
      <c r="D22" s="3" t="s">
        <v>9</v>
      </c>
      <c r="E22" s="3">
        <v>1</v>
      </c>
      <c r="F22" s="3">
        <v>0.1115912910318</v>
      </c>
      <c r="H22" s="3" t="s">
        <v>6</v>
      </c>
      <c r="I22" s="3">
        <v>0.69264124997425802</v>
      </c>
      <c r="K22" s="3" t="s">
        <v>3</v>
      </c>
      <c r="L22" s="3">
        <v>0.446190082991961</v>
      </c>
    </row>
    <row r="23" spans="1:12">
      <c r="A23" s="3" t="s">
        <v>6</v>
      </c>
      <c r="B23" s="3" t="s">
        <v>5</v>
      </c>
      <c r="C23" s="3">
        <v>150</v>
      </c>
      <c r="D23" s="3" t="s">
        <v>9</v>
      </c>
      <c r="E23" s="3">
        <v>1</v>
      </c>
      <c r="F23" s="3">
        <v>0.31964970799163001</v>
      </c>
      <c r="H23" s="3" t="s">
        <v>6</v>
      </c>
      <c r="I23" s="3">
        <v>0.1115912910318</v>
      </c>
      <c r="K23" s="3" t="s">
        <v>3</v>
      </c>
      <c r="L23" s="3">
        <v>0.25521504099015102</v>
      </c>
    </row>
    <row r="24" spans="1:12">
      <c r="A24" s="3" t="s">
        <v>6</v>
      </c>
      <c r="B24" s="3" t="s">
        <v>4</v>
      </c>
      <c r="C24" s="3">
        <v>100</v>
      </c>
      <c r="D24" s="3" t="s">
        <v>8</v>
      </c>
      <c r="E24" s="3">
        <v>1</v>
      </c>
      <c r="F24" s="3">
        <v>0.41525424900464702</v>
      </c>
      <c r="H24" s="3" t="s">
        <v>6</v>
      </c>
      <c r="I24" s="3">
        <v>0.31964970799163001</v>
      </c>
      <c r="K24" s="3" t="s">
        <v>3</v>
      </c>
      <c r="L24" s="3">
        <v>0.497619040950667</v>
      </c>
    </row>
    <row r="25" spans="1:12">
      <c r="A25" s="3" t="s">
        <v>6</v>
      </c>
      <c r="B25" s="3" t="s">
        <v>5</v>
      </c>
      <c r="C25" s="3">
        <v>150</v>
      </c>
      <c r="D25" s="3" t="s">
        <v>9</v>
      </c>
      <c r="E25" s="3">
        <v>1</v>
      </c>
      <c r="F25" s="3">
        <v>9.6509749011602294E-2</v>
      </c>
      <c r="H25" s="3" t="s">
        <v>6</v>
      </c>
      <c r="I25" s="3">
        <v>0.41525424900464702</v>
      </c>
      <c r="K25" s="3" t="s">
        <v>3</v>
      </c>
      <c r="L25" s="3">
        <v>0.25052199902711397</v>
      </c>
    </row>
    <row r="26" spans="1:12">
      <c r="A26" s="3" t="s">
        <v>6</v>
      </c>
      <c r="B26" s="3" t="s">
        <v>5</v>
      </c>
      <c r="C26" s="3">
        <v>150</v>
      </c>
      <c r="D26" s="3" t="s">
        <v>9</v>
      </c>
      <c r="E26" s="3">
        <v>1</v>
      </c>
      <c r="F26" s="3">
        <v>0.29248433298198501</v>
      </c>
      <c r="H26" s="3" t="s">
        <v>6</v>
      </c>
      <c r="I26" s="3">
        <v>9.6509749011602294E-2</v>
      </c>
      <c r="K26" s="3" t="s">
        <v>3</v>
      </c>
      <c r="L26" s="3">
        <v>6.4247292000800399E-2</v>
      </c>
    </row>
    <row r="27" spans="1:12">
      <c r="A27" s="3" t="s">
        <v>6</v>
      </c>
      <c r="B27" s="3" t="s">
        <v>5</v>
      </c>
      <c r="C27" s="3">
        <v>50</v>
      </c>
      <c r="D27" s="3" t="s">
        <v>9</v>
      </c>
      <c r="E27" s="3">
        <v>1</v>
      </c>
      <c r="F27" s="3">
        <v>0.31452829198679</v>
      </c>
      <c r="H27" s="3" t="s">
        <v>6</v>
      </c>
      <c r="I27" s="3">
        <v>0.29248433298198501</v>
      </c>
      <c r="K27" s="3" t="s">
        <v>3</v>
      </c>
      <c r="L27" s="3">
        <v>0.13537062396062499</v>
      </c>
    </row>
    <row r="28" spans="1:12">
      <c r="A28" s="3" t="s">
        <v>6</v>
      </c>
      <c r="B28" s="3" t="s">
        <v>5</v>
      </c>
      <c r="C28" s="3">
        <v>50</v>
      </c>
      <c r="D28" s="3" t="s">
        <v>9</v>
      </c>
      <c r="E28" s="3">
        <v>1</v>
      </c>
      <c r="F28" s="3">
        <v>0.38181554101174697</v>
      </c>
      <c r="H28" s="3" t="s">
        <v>6</v>
      </c>
      <c r="I28" s="3">
        <v>0.31452829198679</v>
      </c>
      <c r="K28" s="3" t="s">
        <v>3</v>
      </c>
      <c r="L28" s="3">
        <v>2.59779579937458E-2</v>
      </c>
    </row>
    <row r="29" spans="1:12">
      <c r="A29" s="3" t="s">
        <v>6</v>
      </c>
      <c r="B29" s="3" t="s">
        <v>4</v>
      </c>
      <c r="C29" s="3">
        <v>50</v>
      </c>
      <c r="D29" s="3" t="s">
        <v>8</v>
      </c>
      <c r="E29" s="3">
        <v>1</v>
      </c>
      <c r="F29" s="3">
        <v>0.25654516601935001</v>
      </c>
      <c r="H29" s="3" t="s">
        <v>6</v>
      </c>
      <c r="I29" s="3">
        <v>0.38181554101174697</v>
      </c>
      <c r="K29" s="3" t="s">
        <v>3</v>
      </c>
      <c r="L29" s="3">
        <v>0.14879029104486099</v>
      </c>
    </row>
    <row r="30" spans="1:12">
      <c r="A30" s="3" t="s">
        <v>6</v>
      </c>
      <c r="B30" s="3" t="s">
        <v>5</v>
      </c>
      <c r="C30" s="3">
        <v>100</v>
      </c>
      <c r="D30" s="3" t="s">
        <v>9</v>
      </c>
      <c r="E30" s="3">
        <v>1</v>
      </c>
      <c r="F30" s="3">
        <v>0.101385499991011</v>
      </c>
      <c r="H30" s="3" t="s">
        <v>6</v>
      </c>
      <c r="I30" s="3">
        <v>0.25654516601935001</v>
      </c>
      <c r="K30" s="3" t="s">
        <v>3</v>
      </c>
      <c r="L30" s="3">
        <v>0.16385650000302099</v>
      </c>
    </row>
    <row r="31" spans="1:12">
      <c r="A31" s="3" t="s">
        <v>6</v>
      </c>
      <c r="B31" s="3" t="s">
        <v>5</v>
      </c>
      <c r="C31" s="3">
        <v>100</v>
      </c>
      <c r="D31" s="3" t="s">
        <v>9</v>
      </c>
      <c r="E31" s="3">
        <v>1</v>
      </c>
      <c r="F31" s="3">
        <v>0.16781975002959401</v>
      </c>
      <c r="H31" s="3" t="s">
        <v>6</v>
      </c>
      <c r="I31" s="3">
        <v>0.101385499991011</v>
      </c>
      <c r="K31" s="3" t="s">
        <v>3</v>
      </c>
      <c r="L31" s="3">
        <v>0.152109915972687</v>
      </c>
    </row>
    <row r="32" spans="1:12">
      <c r="A32" s="3" t="s">
        <v>6</v>
      </c>
      <c r="B32" s="3" t="s">
        <v>5</v>
      </c>
      <c r="C32" s="3">
        <v>100</v>
      </c>
      <c r="D32" s="3" t="s">
        <v>9</v>
      </c>
      <c r="E32" s="3">
        <v>1</v>
      </c>
      <c r="F32" s="3">
        <v>8.5173874977044803E-2</v>
      </c>
      <c r="H32" s="3" t="s">
        <v>6</v>
      </c>
      <c r="I32" s="3">
        <v>0.16781975002959401</v>
      </c>
      <c r="K32" s="3" t="s">
        <v>3</v>
      </c>
      <c r="L32" s="3">
        <v>0.19841345801251001</v>
      </c>
    </row>
    <row r="33" spans="1:12">
      <c r="A33" s="3" t="s">
        <v>6</v>
      </c>
      <c r="B33" s="3" t="s">
        <v>4</v>
      </c>
      <c r="C33" s="3">
        <v>150</v>
      </c>
      <c r="D33" s="3" t="s">
        <v>8</v>
      </c>
      <c r="E33" s="3">
        <v>1</v>
      </c>
      <c r="F33" s="3">
        <v>8.6903207993600504E-2</v>
      </c>
      <c r="H33" s="3" t="s">
        <v>6</v>
      </c>
      <c r="I33" s="3">
        <v>8.5173874977044803E-2</v>
      </c>
      <c r="K33" s="3" t="s">
        <v>3</v>
      </c>
      <c r="L33" s="3">
        <v>4.6265498967841302E-2</v>
      </c>
    </row>
    <row r="34" spans="1:12">
      <c r="A34" s="3" t="s">
        <v>6</v>
      </c>
      <c r="B34" s="3" t="s">
        <v>4</v>
      </c>
      <c r="C34" s="3">
        <v>100</v>
      </c>
      <c r="D34" s="3" t="s">
        <v>8</v>
      </c>
      <c r="E34" s="3">
        <v>1</v>
      </c>
      <c r="F34" s="3">
        <v>0.21031566604506199</v>
      </c>
      <c r="H34" s="3" t="s">
        <v>6</v>
      </c>
      <c r="I34" s="3">
        <v>8.6903207993600504E-2</v>
      </c>
      <c r="K34" s="3" t="s">
        <v>3</v>
      </c>
      <c r="L34" s="3">
        <v>0.146950332971755</v>
      </c>
    </row>
    <row r="35" spans="1:12">
      <c r="A35" s="3" t="s">
        <v>6</v>
      </c>
      <c r="B35" s="3" t="s">
        <v>4</v>
      </c>
      <c r="C35" s="3">
        <v>50</v>
      </c>
      <c r="D35" s="3" t="s">
        <v>8</v>
      </c>
      <c r="E35" s="3">
        <v>1</v>
      </c>
      <c r="F35" s="3">
        <v>0.20075499999802601</v>
      </c>
      <c r="H35" s="3" t="s">
        <v>6</v>
      </c>
      <c r="I35" s="3">
        <v>0.21031566604506199</v>
      </c>
      <c r="K35" s="3" t="s">
        <v>3</v>
      </c>
      <c r="L35" s="3">
        <v>0.20587045798310999</v>
      </c>
    </row>
    <row r="36" spans="1:12">
      <c r="A36" s="3" t="s">
        <v>6</v>
      </c>
      <c r="B36" s="3" t="s">
        <v>4</v>
      </c>
      <c r="C36" s="3">
        <v>150</v>
      </c>
      <c r="D36" s="3" t="s">
        <v>8</v>
      </c>
      <c r="E36" s="3">
        <v>1</v>
      </c>
      <c r="F36" s="3">
        <v>0.13843070797156501</v>
      </c>
      <c r="H36" s="3" t="s">
        <v>6</v>
      </c>
      <c r="I36" s="3">
        <v>0.20075499999802601</v>
      </c>
      <c r="K36" s="3" t="s">
        <v>3</v>
      </c>
      <c r="L36" s="3">
        <v>7.2961583035066696E-2</v>
      </c>
    </row>
    <row r="37" spans="1:12">
      <c r="A37" s="3" t="s">
        <v>6</v>
      </c>
      <c r="B37" s="3" t="s">
        <v>4</v>
      </c>
      <c r="C37" s="3">
        <v>150</v>
      </c>
      <c r="D37" s="3" t="s">
        <v>8</v>
      </c>
      <c r="E37" s="3">
        <v>1</v>
      </c>
      <c r="F37" s="3">
        <v>0.106268333038315</v>
      </c>
      <c r="H37" s="3" t="s">
        <v>6</v>
      </c>
      <c r="I37" s="3">
        <v>0.13843070797156501</v>
      </c>
      <c r="K37" s="3" t="s">
        <v>3</v>
      </c>
      <c r="L37" s="3">
        <v>0.14019366598222399</v>
      </c>
    </row>
    <row r="38" spans="1:12">
      <c r="A38" s="3" t="s">
        <v>6</v>
      </c>
      <c r="B38" s="3" t="s">
        <v>4</v>
      </c>
      <c r="C38" s="3">
        <v>100</v>
      </c>
      <c r="D38" s="3" t="s">
        <v>8</v>
      </c>
      <c r="E38" s="3">
        <v>1</v>
      </c>
      <c r="F38" s="3">
        <v>0.45736766594927802</v>
      </c>
      <c r="H38" s="3" t="s">
        <v>6</v>
      </c>
      <c r="I38" s="3">
        <v>0.106268333038315</v>
      </c>
      <c r="K38" s="3" t="s">
        <v>3</v>
      </c>
      <c r="L38" s="3">
        <v>6.7299375019501895E-2</v>
      </c>
    </row>
    <row r="39" spans="1:12">
      <c r="A39" s="3" t="s">
        <v>6</v>
      </c>
      <c r="B39" s="3" t="s">
        <v>4</v>
      </c>
      <c r="C39" s="3">
        <v>150</v>
      </c>
      <c r="D39" s="3" t="s">
        <v>8</v>
      </c>
      <c r="E39" s="3">
        <v>1</v>
      </c>
      <c r="F39" s="3">
        <v>0.31157474999781698</v>
      </c>
      <c r="H39" s="3" t="s">
        <v>6</v>
      </c>
      <c r="I39" s="3">
        <v>0.45736766594927802</v>
      </c>
      <c r="K39" s="3" t="s">
        <v>3</v>
      </c>
      <c r="L39" s="3">
        <v>0.22901875001843999</v>
      </c>
    </row>
    <row r="40" spans="1:12">
      <c r="A40" s="3" t="s">
        <v>6</v>
      </c>
      <c r="B40" s="3" t="s">
        <v>4</v>
      </c>
      <c r="C40" s="3">
        <v>100</v>
      </c>
      <c r="D40" s="3" t="s">
        <v>8</v>
      </c>
      <c r="E40" s="3">
        <v>1</v>
      </c>
      <c r="F40" s="3">
        <v>0.33134679205250001</v>
      </c>
      <c r="H40" s="3" t="s">
        <v>6</v>
      </c>
      <c r="I40" s="3">
        <v>0.31157474999781698</v>
      </c>
      <c r="K40" s="3" t="s">
        <v>3</v>
      </c>
      <c r="L40" s="3">
        <v>0.13417199999094001</v>
      </c>
    </row>
    <row r="41" spans="1:12">
      <c r="A41" s="3" t="s">
        <v>6</v>
      </c>
      <c r="B41" s="3" t="s">
        <v>5</v>
      </c>
      <c r="C41" s="3">
        <v>50</v>
      </c>
      <c r="D41" s="3" t="s">
        <v>9</v>
      </c>
      <c r="E41" s="3">
        <v>1</v>
      </c>
      <c r="F41" s="3">
        <v>0.26954600005410601</v>
      </c>
      <c r="H41" s="3" t="s">
        <v>6</v>
      </c>
      <c r="I41" s="3">
        <v>0.33134679205250001</v>
      </c>
      <c r="K41" s="3" t="s">
        <v>3</v>
      </c>
      <c r="L41" s="3">
        <v>0.15211554203415301</v>
      </c>
    </row>
    <row r="42" spans="1:12">
      <c r="A42" s="3" t="s">
        <v>6</v>
      </c>
      <c r="B42" s="3" t="s">
        <v>4</v>
      </c>
      <c r="C42" s="3">
        <v>50</v>
      </c>
      <c r="D42" s="3" t="s">
        <v>8</v>
      </c>
      <c r="E42" s="3">
        <v>1</v>
      </c>
      <c r="F42" s="3">
        <v>0.272818582947366</v>
      </c>
      <c r="H42" s="3" t="s">
        <v>6</v>
      </c>
      <c r="I42" s="3">
        <v>0.26954600005410601</v>
      </c>
      <c r="K42" s="3" t="s">
        <v>3</v>
      </c>
      <c r="L42" s="3">
        <v>8.8844666024670005E-2</v>
      </c>
    </row>
    <row r="43" spans="1:12">
      <c r="A43" s="3" t="s">
        <v>6</v>
      </c>
      <c r="B43" s="3" t="s">
        <v>4</v>
      </c>
      <c r="C43" s="3">
        <v>100</v>
      </c>
      <c r="D43" s="3" t="s">
        <v>8</v>
      </c>
      <c r="E43" s="3">
        <v>1</v>
      </c>
      <c r="F43" s="3">
        <v>0.18774133297847601</v>
      </c>
      <c r="H43" s="3" t="s">
        <v>6</v>
      </c>
      <c r="I43" s="3">
        <v>0.272818582947366</v>
      </c>
      <c r="K43" s="3" t="s">
        <v>3</v>
      </c>
      <c r="L43" s="3">
        <v>4.2243250005412902E-2</v>
      </c>
    </row>
    <row r="44" spans="1:12">
      <c r="A44" s="3" t="s">
        <v>6</v>
      </c>
      <c r="B44" s="3" t="s">
        <v>4</v>
      </c>
      <c r="C44" s="3">
        <v>50</v>
      </c>
      <c r="D44" s="3" t="s">
        <v>8</v>
      </c>
      <c r="E44" s="3">
        <v>1</v>
      </c>
      <c r="F44" s="3">
        <v>0.34925750002730599</v>
      </c>
      <c r="H44" s="3" t="s">
        <v>6</v>
      </c>
      <c r="I44" s="3">
        <v>0.18774133297847601</v>
      </c>
      <c r="K44" s="3" t="s">
        <v>3</v>
      </c>
      <c r="L44" s="3">
        <v>0.35424129100283602</v>
      </c>
    </row>
    <row r="45" spans="1:12">
      <c r="A45" s="3" t="s">
        <v>6</v>
      </c>
      <c r="B45" s="3" t="s">
        <v>5</v>
      </c>
      <c r="C45" s="3">
        <v>150</v>
      </c>
      <c r="D45" s="3" t="s">
        <v>9</v>
      </c>
      <c r="E45" s="3">
        <v>1</v>
      </c>
      <c r="F45" s="3">
        <v>0.30458683299366401</v>
      </c>
      <c r="H45" s="3" t="s">
        <v>6</v>
      </c>
      <c r="I45" s="3">
        <v>0.34925750002730599</v>
      </c>
      <c r="K45" s="3" t="s">
        <v>3</v>
      </c>
      <c r="L45" s="3">
        <v>0.15048700000625101</v>
      </c>
    </row>
    <row r="46" spans="1:12">
      <c r="A46" s="3" t="s">
        <v>6</v>
      </c>
      <c r="B46" s="3" t="s">
        <v>4</v>
      </c>
      <c r="C46" s="3">
        <v>50</v>
      </c>
      <c r="D46" s="3" t="s">
        <v>8</v>
      </c>
      <c r="E46" s="3">
        <v>1</v>
      </c>
      <c r="F46" s="3">
        <v>0.276397540990729</v>
      </c>
      <c r="H46" s="3" t="s">
        <v>6</v>
      </c>
      <c r="I46" s="3">
        <v>0.30458683299366401</v>
      </c>
      <c r="K46" s="3" t="s">
        <v>3</v>
      </c>
      <c r="L46" s="3">
        <v>0.21444329101359499</v>
      </c>
    </row>
    <row r="47" spans="1:12">
      <c r="A47" s="3" t="s">
        <v>6</v>
      </c>
      <c r="B47" s="3" t="s">
        <v>4</v>
      </c>
      <c r="C47" s="3">
        <v>150</v>
      </c>
      <c r="D47" s="3" t="s">
        <v>8</v>
      </c>
      <c r="E47" s="3">
        <v>1</v>
      </c>
      <c r="F47" s="3">
        <v>0.31012920802459099</v>
      </c>
      <c r="H47" s="3" t="s">
        <v>6</v>
      </c>
      <c r="I47" s="3">
        <v>0.276397540990729</v>
      </c>
      <c r="K47" s="3" t="s">
        <v>3</v>
      </c>
      <c r="L47" s="3">
        <v>0.14057008299278101</v>
      </c>
    </row>
    <row r="48" spans="1:12">
      <c r="A48" s="3" t="s">
        <v>6</v>
      </c>
      <c r="B48" s="3" t="s">
        <v>5</v>
      </c>
      <c r="C48" s="3">
        <v>150</v>
      </c>
      <c r="D48" s="3" t="s">
        <v>9</v>
      </c>
      <c r="E48" s="3">
        <v>1</v>
      </c>
      <c r="F48" s="3">
        <v>0.131595040962566</v>
      </c>
      <c r="H48" s="3" t="s">
        <v>6</v>
      </c>
      <c r="I48" s="3">
        <v>0.31012920802459099</v>
      </c>
      <c r="K48" s="3" t="s">
        <v>3</v>
      </c>
      <c r="L48" s="3">
        <v>0.17615483299596199</v>
      </c>
    </row>
    <row r="49" spans="1:12">
      <c r="A49" s="3" t="s">
        <v>6</v>
      </c>
      <c r="B49" s="3" t="s">
        <v>4</v>
      </c>
      <c r="C49" s="3">
        <v>50</v>
      </c>
      <c r="D49" s="3" t="s">
        <v>8</v>
      </c>
      <c r="E49" s="3">
        <v>1</v>
      </c>
      <c r="F49" s="3">
        <v>0.22996420797426301</v>
      </c>
      <c r="H49" s="3" t="s">
        <v>6</v>
      </c>
      <c r="I49" s="3">
        <v>0.131595040962566</v>
      </c>
      <c r="K49" s="3" t="s">
        <v>3</v>
      </c>
      <c r="L49" s="3">
        <v>0.13905787502881101</v>
      </c>
    </row>
    <row r="50" spans="1:12">
      <c r="A50" s="3" t="s">
        <v>6</v>
      </c>
      <c r="B50" s="3" t="s">
        <v>5</v>
      </c>
      <c r="C50" s="3">
        <v>150</v>
      </c>
      <c r="D50" s="3" t="s">
        <v>9</v>
      </c>
      <c r="E50" s="3">
        <v>1</v>
      </c>
      <c r="F50" s="3">
        <v>0.16386787401279401</v>
      </c>
      <c r="H50" s="3" t="s">
        <v>6</v>
      </c>
      <c r="I50" s="3">
        <v>0.22996420797426301</v>
      </c>
    </row>
    <row r="51" spans="1:12">
      <c r="A51" s="3" t="s">
        <v>3</v>
      </c>
      <c r="B51" s="3" t="s">
        <v>4</v>
      </c>
      <c r="C51" s="3">
        <v>50</v>
      </c>
      <c r="D51" s="3" t="s">
        <v>8</v>
      </c>
      <c r="E51" s="3">
        <v>1</v>
      </c>
      <c r="F51" s="3">
        <v>0.18694083299487799</v>
      </c>
      <c r="H51" s="3" t="s">
        <v>6</v>
      </c>
      <c r="I51" s="3">
        <v>0.16386787401279401</v>
      </c>
    </row>
    <row r="52" spans="1:12">
      <c r="A52" s="3" t="s">
        <v>3</v>
      </c>
      <c r="B52" s="3" t="s">
        <v>5</v>
      </c>
      <c r="C52" s="3">
        <v>50</v>
      </c>
      <c r="D52" s="3" t="s">
        <v>9</v>
      </c>
      <c r="E52" s="3">
        <v>1</v>
      </c>
      <c r="F52" s="3">
        <v>0.21561791596468499</v>
      </c>
      <c r="H52" s="3" t="s">
        <v>12</v>
      </c>
      <c r="I52">
        <f>AVERAGE(I4:I51)</f>
        <v>0.26354270454127499</v>
      </c>
      <c r="K52" s="3" t="s">
        <v>12</v>
      </c>
      <c r="L52">
        <f>AVERAGE(L4:L49)</f>
        <v>0.20720756845295671</v>
      </c>
    </row>
    <row r="53" spans="1:12">
      <c r="A53" s="3" t="s">
        <v>3</v>
      </c>
      <c r="B53" s="3" t="s">
        <v>5</v>
      </c>
      <c r="C53" s="3">
        <v>100</v>
      </c>
      <c r="D53" s="3" t="s">
        <v>9</v>
      </c>
      <c r="E53" s="3">
        <v>1</v>
      </c>
      <c r="F53" s="3">
        <v>0.16298399999504901</v>
      </c>
    </row>
    <row r="54" spans="1:12">
      <c r="A54" s="3" t="s">
        <v>3</v>
      </c>
      <c r="B54" s="3" t="s">
        <v>4</v>
      </c>
      <c r="C54" s="3">
        <v>50</v>
      </c>
      <c r="D54" s="3" t="s">
        <v>8</v>
      </c>
      <c r="E54" s="3">
        <v>1</v>
      </c>
      <c r="F54" s="3">
        <v>0.176175748987589</v>
      </c>
    </row>
    <row r="55" spans="1:12">
      <c r="A55" s="4"/>
      <c r="B55" s="4"/>
      <c r="C55" s="4"/>
      <c r="D55" s="4"/>
      <c r="E55" s="4">
        <v>0</v>
      </c>
      <c r="F55" s="4">
        <v>8.5687458049506005E-2</v>
      </c>
      <c r="H55" s="3" t="s">
        <v>17</v>
      </c>
      <c r="I55" t="s">
        <v>14</v>
      </c>
      <c r="J55" t="s">
        <v>15</v>
      </c>
    </row>
    <row r="56" spans="1:12" ht="18">
      <c r="A56" s="3" t="s">
        <v>3</v>
      </c>
      <c r="B56" s="3" t="s">
        <v>5</v>
      </c>
      <c r="C56" s="3">
        <v>50</v>
      </c>
      <c r="D56" s="3" t="s">
        <v>9</v>
      </c>
      <c r="E56" s="3">
        <v>1</v>
      </c>
      <c r="F56" s="3">
        <v>0.285857707960531</v>
      </c>
      <c r="H56" s="3">
        <v>50</v>
      </c>
      <c r="I56" s="7">
        <f>AVERAGEIFS(F:F, A:A,"valid", C:C,50)</f>
        <v>0.25472015004682663</v>
      </c>
      <c r="J56" s="7">
        <f>AVERAGEIFS(F:F, A:A,"invalid", C:C,50)</f>
        <v>0.31735602349259107</v>
      </c>
    </row>
    <row r="57" spans="1:12" ht="18">
      <c r="A57" s="3" t="s">
        <v>3</v>
      </c>
      <c r="B57" s="3" t="s">
        <v>5</v>
      </c>
      <c r="C57" s="3">
        <v>50</v>
      </c>
      <c r="D57" s="3" t="s">
        <v>9</v>
      </c>
      <c r="E57" s="3">
        <v>1</v>
      </c>
      <c r="F57" s="3">
        <v>0.23170579096768101</v>
      </c>
      <c r="H57" s="3">
        <v>100</v>
      </c>
      <c r="I57" s="7">
        <f>AVERAGEIFS(F:F, A:A,"valid", C:C,100)</f>
        <v>0.21761115646907395</v>
      </c>
      <c r="J57" s="7">
        <f>AVERAGEIFS(F:F, A:A,"invalid", C:C,100)</f>
        <v>0.31737216050636829</v>
      </c>
    </row>
    <row r="58" spans="1:12" ht="18">
      <c r="A58" s="3" t="s">
        <v>3</v>
      </c>
      <c r="B58" s="3" t="s">
        <v>5</v>
      </c>
      <c r="C58" s="3">
        <v>100</v>
      </c>
      <c r="D58" s="3" t="s">
        <v>9</v>
      </c>
      <c r="E58" s="3">
        <v>1</v>
      </c>
      <c r="F58" s="3">
        <v>0.35026879102224501</v>
      </c>
      <c r="H58" s="3">
        <v>150</v>
      </c>
      <c r="I58" s="7">
        <f>AVERAGEIFS(F:F, A:A,"valid", C:C,150)</f>
        <v>0.11338143527444272</v>
      </c>
      <c r="J58" s="7">
        <f>AVERAGEIFS(F:F, A:A,"invalid", C:C,150)</f>
        <v>0.18819276209978847</v>
      </c>
    </row>
    <row r="59" spans="1:12">
      <c r="A59" s="3" t="s">
        <v>3</v>
      </c>
      <c r="B59" s="3" t="s">
        <v>4</v>
      </c>
      <c r="C59" s="3">
        <v>50</v>
      </c>
      <c r="D59" s="3" t="s">
        <v>8</v>
      </c>
      <c r="E59" s="3">
        <v>1</v>
      </c>
      <c r="F59" s="3">
        <v>0.32809787499718401</v>
      </c>
    </row>
    <row r="60" spans="1:12">
      <c r="A60" s="3" t="s">
        <v>3</v>
      </c>
      <c r="B60" s="3" t="s">
        <v>4</v>
      </c>
      <c r="C60" s="3">
        <v>100</v>
      </c>
      <c r="D60" s="3" t="s">
        <v>8</v>
      </c>
      <c r="E60" s="3">
        <v>1</v>
      </c>
      <c r="F60" s="3">
        <v>0.20430104096885801</v>
      </c>
    </row>
    <row r="61" spans="1:12">
      <c r="A61" s="3" t="s">
        <v>3</v>
      </c>
      <c r="B61" s="3" t="s">
        <v>5</v>
      </c>
      <c r="C61" s="3">
        <v>50</v>
      </c>
      <c r="D61" s="3" t="s">
        <v>9</v>
      </c>
      <c r="E61" s="3">
        <v>1</v>
      </c>
      <c r="F61" s="3">
        <v>0.13616570795420599</v>
      </c>
    </row>
    <row r="62" spans="1:12">
      <c r="A62" s="3" t="s">
        <v>3</v>
      </c>
      <c r="B62" s="3" t="s">
        <v>5</v>
      </c>
      <c r="C62" s="3">
        <v>100</v>
      </c>
      <c r="D62" s="3" t="s">
        <v>9</v>
      </c>
      <c r="E62" s="3">
        <v>1</v>
      </c>
      <c r="F62" s="3">
        <v>0.405829707975499</v>
      </c>
    </row>
    <row r="63" spans="1:12">
      <c r="A63" s="3" t="s">
        <v>3</v>
      </c>
      <c r="B63" s="3" t="s">
        <v>5</v>
      </c>
      <c r="C63" s="3">
        <v>100</v>
      </c>
      <c r="D63" s="3" t="s">
        <v>9</v>
      </c>
      <c r="E63" s="3">
        <v>1</v>
      </c>
      <c r="F63" s="3">
        <v>0.101562375028152</v>
      </c>
    </row>
    <row r="64" spans="1:12">
      <c r="A64" s="3" t="s">
        <v>3</v>
      </c>
      <c r="B64" s="3" t="s">
        <v>4</v>
      </c>
      <c r="C64" s="3">
        <v>50</v>
      </c>
      <c r="D64" s="3" t="s">
        <v>8</v>
      </c>
      <c r="E64" s="3">
        <v>1</v>
      </c>
      <c r="F64" s="3">
        <v>0.43618733301991602</v>
      </c>
    </row>
    <row r="65" spans="1:6">
      <c r="A65" s="3" t="s">
        <v>3</v>
      </c>
      <c r="B65" s="3" t="s">
        <v>4</v>
      </c>
      <c r="C65" s="3">
        <v>150</v>
      </c>
      <c r="D65" s="3" t="s">
        <v>8</v>
      </c>
      <c r="E65" s="3">
        <v>1</v>
      </c>
      <c r="F65" s="3">
        <v>0.22571258299285499</v>
      </c>
    </row>
    <row r="66" spans="1:6">
      <c r="A66" s="3" t="s">
        <v>3</v>
      </c>
      <c r="B66" s="3" t="s">
        <v>4</v>
      </c>
      <c r="C66" s="3">
        <v>100</v>
      </c>
      <c r="D66" s="3" t="s">
        <v>8</v>
      </c>
      <c r="E66" s="3">
        <v>1</v>
      </c>
      <c r="F66" s="3">
        <v>0.34744512499310098</v>
      </c>
    </row>
    <row r="67" spans="1:6">
      <c r="A67" s="3" t="s">
        <v>3</v>
      </c>
      <c r="B67" s="3" t="s">
        <v>4</v>
      </c>
      <c r="C67" s="3">
        <v>50</v>
      </c>
      <c r="D67" s="3" t="s">
        <v>8</v>
      </c>
      <c r="E67" s="3">
        <v>1</v>
      </c>
      <c r="F67" s="3">
        <v>0.25530729099409699</v>
      </c>
    </row>
    <row r="68" spans="1:6">
      <c r="A68" s="3" t="s">
        <v>3</v>
      </c>
      <c r="B68" s="3" t="s">
        <v>5</v>
      </c>
      <c r="C68" s="3">
        <v>150</v>
      </c>
      <c r="D68" s="3" t="s">
        <v>9</v>
      </c>
      <c r="E68" s="3">
        <v>1</v>
      </c>
      <c r="F68" s="3">
        <v>0.23767449898878101</v>
      </c>
    </row>
    <row r="69" spans="1:6">
      <c r="A69" s="3" t="s">
        <v>3</v>
      </c>
      <c r="B69" s="3" t="s">
        <v>5</v>
      </c>
      <c r="C69" s="3">
        <v>50</v>
      </c>
      <c r="D69" s="3" t="s">
        <v>9</v>
      </c>
      <c r="E69" s="3">
        <v>1</v>
      </c>
      <c r="F69" s="3">
        <v>0.40451212500920503</v>
      </c>
    </row>
    <row r="70" spans="1:6">
      <c r="A70" s="3" t="s">
        <v>3</v>
      </c>
      <c r="B70" s="3" t="s">
        <v>5</v>
      </c>
      <c r="C70" s="3">
        <v>50</v>
      </c>
      <c r="D70" s="3" t="s">
        <v>9</v>
      </c>
      <c r="E70" s="3">
        <v>1</v>
      </c>
      <c r="F70" s="3">
        <v>0.446190082991961</v>
      </c>
    </row>
    <row r="71" spans="1:6">
      <c r="A71" s="3" t="s">
        <v>3</v>
      </c>
      <c r="B71" s="3" t="s">
        <v>4</v>
      </c>
      <c r="C71" s="3">
        <v>50</v>
      </c>
      <c r="D71" s="3" t="s">
        <v>8</v>
      </c>
      <c r="E71" s="3">
        <v>1</v>
      </c>
      <c r="F71" s="3">
        <v>0.25521504099015102</v>
      </c>
    </row>
    <row r="72" spans="1:6">
      <c r="A72" s="3" t="s">
        <v>3</v>
      </c>
      <c r="B72" s="3" t="s">
        <v>5</v>
      </c>
      <c r="C72" s="3">
        <v>100</v>
      </c>
      <c r="D72" s="3" t="s">
        <v>9</v>
      </c>
      <c r="E72" s="3">
        <v>1</v>
      </c>
      <c r="F72" s="3">
        <v>0.497619040950667</v>
      </c>
    </row>
    <row r="73" spans="1:6">
      <c r="A73" s="3" t="s">
        <v>3</v>
      </c>
      <c r="B73" s="3" t="s">
        <v>5</v>
      </c>
      <c r="C73" s="3">
        <v>100</v>
      </c>
      <c r="D73" s="3" t="s">
        <v>9</v>
      </c>
      <c r="E73" s="3">
        <v>1</v>
      </c>
      <c r="F73" s="3">
        <v>0.25052199902711397</v>
      </c>
    </row>
    <row r="74" spans="1:6">
      <c r="A74" s="4"/>
      <c r="B74" s="4"/>
      <c r="C74" s="4"/>
      <c r="D74" s="4"/>
      <c r="E74" s="4">
        <v>0</v>
      </c>
      <c r="F74" s="4">
        <v>0.41968516603810702</v>
      </c>
    </row>
    <row r="75" spans="1:6">
      <c r="A75" s="3" t="s">
        <v>3</v>
      </c>
      <c r="B75" s="3" t="s">
        <v>5</v>
      </c>
      <c r="C75" s="3">
        <v>150</v>
      </c>
      <c r="D75" s="3" t="s">
        <v>9</v>
      </c>
      <c r="E75" s="3">
        <v>1</v>
      </c>
      <c r="F75" s="3">
        <v>6.4247292000800399E-2</v>
      </c>
    </row>
    <row r="76" spans="1:6">
      <c r="A76" s="3" t="s">
        <v>3</v>
      </c>
      <c r="B76" s="3" t="s">
        <v>5</v>
      </c>
      <c r="C76" s="3">
        <v>100</v>
      </c>
      <c r="D76" s="3" t="s">
        <v>9</v>
      </c>
      <c r="E76" s="3">
        <v>1</v>
      </c>
      <c r="F76" s="3">
        <v>0.13537062396062499</v>
      </c>
    </row>
    <row r="77" spans="1:6">
      <c r="A77" s="3" t="s">
        <v>3</v>
      </c>
      <c r="B77" s="3" t="s">
        <v>4</v>
      </c>
      <c r="C77" s="3">
        <v>150</v>
      </c>
      <c r="D77" s="3" t="s">
        <v>8</v>
      </c>
      <c r="E77" s="3">
        <v>1</v>
      </c>
      <c r="F77" s="3">
        <v>2.59779579937458E-2</v>
      </c>
    </row>
    <row r="78" spans="1:6">
      <c r="A78" s="3" t="s">
        <v>3</v>
      </c>
      <c r="B78" s="3" t="s">
        <v>4</v>
      </c>
      <c r="C78" s="3">
        <v>100</v>
      </c>
      <c r="D78" s="3" t="s">
        <v>8</v>
      </c>
      <c r="E78" s="3">
        <v>1</v>
      </c>
      <c r="F78" s="3">
        <v>0.14879029104486099</v>
      </c>
    </row>
    <row r="79" spans="1:6">
      <c r="A79" s="3" t="s">
        <v>3</v>
      </c>
      <c r="B79" s="3" t="s">
        <v>5</v>
      </c>
      <c r="C79" s="3">
        <v>100</v>
      </c>
      <c r="D79" s="3" t="s">
        <v>9</v>
      </c>
      <c r="E79" s="3">
        <v>1</v>
      </c>
      <c r="F79" s="3">
        <v>0.16385650000302099</v>
      </c>
    </row>
    <row r="80" spans="1:6">
      <c r="A80" s="3" t="s">
        <v>3</v>
      </c>
      <c r="B80" s="3" t="s">
        <v>5</v>
      </c>
      <c r="C80" s="3">
        <v>100</v>
      </c>
      <c r="D80" s="3" t="s">
        <v>9</v>
      </c>
      <c r="E80" s="3">
        <v>1</v>
      </c>
      <c r="F80" s="3">
        <v>0.152109915972687</v>
      </c>
    </row>
    <row r="81" spans="1:6">
      <c r="A81" s="3" t="s">
        <v>3</v>
      </c>
      <c r="B81" s="3" t="s">
        <v>4</v>
      </c>
      <c r="C81" s="3">
        <v>50</v>
      </c>
      <c r="D81" s="3" t="s">
        <v>8</v>
      </c>
      <c r="E81" s="3">
        <v>1</v>
      </c>
      <c r="F81" s="3">
        <v>0.19841345801251001</v>
      </c>
    </row>
    <row r="82" spans="1:6">
      <c r="A82" s="3" t="s">
        <v>3</v>
      </c>
      <c r="B82" s="3" t="s">
        <v>5</v>
      </c>
      <c r="C82" s="3">
        <v>150</v>
      </c>
      <c r="D82" s="3" t="s">
        <v>9</v>
      </c>
      <c r="E82" s="3">
        <v>1</v>
      </c>
      <c r="F82" s="3">
        <v>4.6265498967841302E-2</v>
      </c>
    </row>
    <row r="83" spans="1:6">
      <c r="A83" s="3" t="s">
        <v>3</v>
      </c>
      <c r="B83" s="3" t="s">
        <v>5</v>
      </c>
      <c r="C83" s="3">
        <v>150</v>
      </c>
      <c r="D83" s="3" t="s">
        <v>9</v>
      </c>
      <c r="E83" s="3">
        <v>1</v>
      </c>
      <c r="F83" s="3">
        <v>0.146950332971755</v>
      </c>
    </row>
    <row r="84" spans="1:6">
      <c r="A84" s="3" t="s">
        <v>3</v>
      </c>
      <c r="B84" s="3" t="s">
        <v>5</v>
      </c>
      <c r="C84" s="3">
        <v>50</v>
      </c>
      <c r="D84" s="3" t="s">
        <v>9</v>
      </c>
      <c r="E84" s="3">
        <v>1</v>
      </c>
      <c r="F84" s="3">
        <v>0.20587045798310999</v>
      </c>
    </row>
    <row r="85" spans="1:6">
      <c r="A85" s="3" t="s">
        <v>3</v>
      </c>
      <c r="B85" s="3" t="s">
        <v>4</v>
      </c>
      <c r="C85" s="3">
        <v>150</v>
      </c>
      <c r="D85" s="3" t="s">
        <v>8</v>
      </c>
      <c r="E85" s="3">
        <v>1</v>
      </c>
      <c r="F85" s="3">
        <v>7.2961583035066696E-2</v>
      </c>
    </row>
    <row r="86" spans="1:6">
      <c r="A86" s="3" t="s">
        <v>3</v>
      </c>
      <c r="B86" s="3" t="s">
        <v>5</v>
      </c>
      <c r="C86" s="3">
        <v>50</v>
      </c>
      <c r="D86" s="3" t="s">
        <v>9</v>
      </c>
      <c r="E86" s="3">
        <v>1</v>
      </c>
      <c r="F86" s="3">
        <v>0.14019366598222399</v>
      </c>
    </row>
    <row r="87" spans="1:6">
      <c r="A87" s="3" t="s">
        <v>3</v>
      </c>
      <c r="B87" s="3" t="s">
        <v>5</v>
      </c>
      <c r="C87" s="3">
        <v>150</v>
      </c>
      <c r="D87" s="3" t="s">
        <v>9</v>
      </c>
      <c r="E87" s="3">
        <v>1</v>
      </c>
      <c r="F87" s="3">
        <v>6.7299375019501895E-2</v>
      </c>
    </row>
    <row r="88" spans="1:6">
      <c r="A88" s="3" t="s">
        <v>3</v>
      </c>
      <c r="B88" s="3" t="s">
        <v>4</v>
      </c>
      <c r="C88" s="3">
        <v>150</v>
      </c>
      <c r="D88" s="3" t="s">
        <v>8</v>
      </c>
      <c r="E88" s="3">
        <v>1</v>
      </c>
      <c r="F88" s="3">
        <v>0.22901875001843999</v>
      </c>
    </row>
    <row r="89" spans="1:6">
      <c r="A89" s="3" t="s">
        <v>3</v>
      </c>
      <c r="B89" s="3" t="s">
        <v>4</v>
      </c>
      <c r="C89" s="3">
        <v>100</v>
      </c>
      <c r="D89" s="3" t="s">
        <v>8</v>
      </c>
      <c r="E89" s="3">
        <v>1</v>
      </c>
      <c r="F89" s="3">
        <v>0.13417199999094001</v>
      </c>
    </row>
    <row r="90" spans="1:6">
      <c r="A90" s="3" t="s">
        <v>3</v>
      </c>
      <c r="B90" s="3" t="s">
        <v>4</v>
      </c>
      <c r="C90" s="3">
        <v>50</v>
      </c>
      <c r="D90" s="3" t="s">
        <v>8</v>
      </c>
      <c r="E90" s="3">
        <v>1</v>
      </c>
      <c r="F90" s="3">
        <v>0.15211554203415301</v>
      </c>
    </row>
    <row r="91" spans="1:6">
      <c r="A91" s="3" t="s">
        <v>3</v>
      </c>
      <c r="B91" s="3" t="s">
        <v>4</v>
      </c>
      <c r="C91" s="3">
        <v>150</v>
      </c>
      <c r="D91" s="3" t="s">
        <v>8</v>
      </c>
      <c r="E91" s="3">
        <v>1</v>
      </c>
      <c r="F91" s="3">
        <v>8.8844666024670005E-2</v>
      </c>
    </row>
    <row r="92" spans="1:6">
      <c r="A92" s="3" t="s">
        <v>3</v>
      </c>
      <c r="B92" s="3" t="s">
        <v>4</v>
      </c>
      <c r="C92" s="3">
        <v>150</v>
      </c>
      <c r="D92" s="3" t="s">
        <v>8</v>
      </c>
      <c r="E92" s="3">
        <v>1</v>
      </c>
      <c r="F92" s="3">
        <v>4.2243250005412902E-2</v>
      </c>
    </row>
    <row r="93" spans="1:6">
      <c r="A93" s="3" t="s">
        <v>3</v>
      </c>
      <c r="B93" s="3" t="s">
        <v>5</v>
      </c>
      <c r="C93" s="3">
        <v>50</v>
      </c>
      <c r="D93" s="3" t="s">
        <v>9</v>
      </c>
      <c r="E93" s="3">
        <v>1</v>
      </c>
      <c r="F93" s="3">
        <v>0.35424129100283602</v>
      </c>
    </row>
    <row r="94" spans="1:6">
      <c r="A94" s="3" t="s">
        <v>3</v>
      </c>
      <c r="B94" s="3" t="s">
        <v>4</v>
      </c>
      <c r="C94" s="3">
        <v>100</v>
      </c>
      <c r="D94" s="3" t="s">
        <v>8</v>
      </c>
      <c r="E94" s="3">
        <v>1</v>
      </c>
      <c r="F94" s="3">
        <v>0.15048700000625101</v>
      </c>
    </row>
    <row r="95" spans="1:6">
      <c r="A95" s="3" t="s">
        <v>3</v>
      </c>
      <c r="B95" s="3" t="s">
        <v>4</v>
      </c>
      <c r="C95" s="3">
        <v>100</v>
      </c>
      <c r="D95" s="3" t="s">
        <v>8</v>
      </c>
      <c r="E95" s="3">
        <v>1</v>
      </c>
      <c r="F95" s="3">
        <v>0.21444329101359499</v>
      </c>
    </row>
    <row r="96" spans="1:6">
      <c r="A96" s="3" t="s">
        <v>3</v>
      </c>
      <c r="B96" s="3" t="s">
        <v>5</v>
      </c>
      <c r="C96" s="3">
        <v>100</v>
      </c>
      <c r="D96" s="3" t="s">
        <v>9</v>
      </c>
      <c r="E96" s="3">
        <v>1</v>
      </c>
      <c r="F96" s="3">
        <v>0.14057008299278101</v>
      </c>
    </row>
    <row r="97" spans="1:6">
      <c r="A97" s="3" t="s">
        <v>3</v>
      </c>
      <c r="B97" s="3" t="s">
        <v>4</v>
      </c>
      <c r="C97" s="3">
        <v>50</v>
      </c>
      <c r="D97" s="3" t="s">
        <v>8</v>
      </c>
      <c r="E97" s="3">
        <v>1</v>
      </c>
      <c r="F97" s="3">
        <v>0.17615483299596199</v>
      </c>
    </row>
    <row r="98" spans="1:6">
      <c r="A98" s="3" t="s">
        <v>3</v>
      </c>
      <c r="B98" s="3" t="s">
        <v>4</v>
      </c>
      <c r="C98" s="3">
        <v>100</v>
      </c>
      <c r="D98" s="3" t="s">
        <v>8</v>
      </c>
      <c r="E98" s="3">
        <v>1</v>
      </c>
      <c r="F98" s="3">
        <v>0.13905787502881101</v>
      </c>
    </row>
    <row r="99" spans="1:6">
      <c r="E99">
        <f>AVERAGE(E3:E98)*100</f>
        <v>97.916666666666657</v>
      </c>
    </row>
  </sheetData>
  <sortState xmlns:xlrd2="http://schemas.microsoft.com/office/spreadsheetml/2017/richdata2" ref="A3:A98">
    <sortCondition ref="A3:A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7E3D-FDCA-2943-8323-F304EF739580}">
  <dimension ref="A1:P98"/>
  <sheetViews>
    <sheetView workbookViewId="0">
      <selection activeCell="O6" sqref="O6:P6"/>
    </sheetView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7</v>
      </c>
      <c r="E1" s="1" t="s">
        <v>10</v>
      </c>
      <c r="F1" s="1" t="s">
        <v>11</v>
      </c>
    </row>
    <row r="2" spans="1:16">
      <c r="A2" s="2"/>
      <c r="B2" s="2"/>
      <c r="C2" s="2"/>
      <c r="D2" s="2"/>
      <c r="E2" s="2"/>
      <c r="F2" s="2"/>
      <c r="I2" s="1" t="s">
        <v>0</v>
      </c>
      <c r="J2" s="1" t="s">
        <v>11</v>
      </c>
      <c r="L2" s="1" t="s">
        <v>0</v>
      </c>
      <c r="M2" s="1" t="s">
        <v>11</v>
      </c>
    </row>
    <row r="3" spans="1:16">
      <c r="A3" s="3" t="s">
        <v>6</v>
      </c>
      <c r="B3" s="3" t="s">
        <v>4</v>
      </c>
      <c r="C3" s="3">
        <v>50</v>
      </c>
      <c r="D3" s="3" t="s">
        <v>8</v>
      </c>
      <c r="E3" s="3">
        <v>1</v>
      </c>
      <c r="F3" s="3">
        <v>0.31221658299909899</v>
      </c>
    </row>
    <row r="4" spans="1:16">
      <c r="A4" s="4"/>
      <c r="B4" s="4"/>
      <c r="C4" s="4"/>
      <c r="D4" s="4"/>
      <c r="E4" s="4">
        <v>0</v>
      </c>
      <c r="F4" s="4"/>
      <c r="I4" s="3" t="s">
        <v>6</v>
      </c>
      <c r="J4" s="3">
        <v>0.31221658299909899</v>
      </c>
      <c r="L4" s="3" t="s">
        <v>3</v>
      </c>
      <c r="M4" s="3">
        <v>0.32720683299703501</v>
      </c>
    </row>
    <row r="5" spans="1:16">
      <c r="A5" s="3" t="s">
        <v>6</v>
      </c>
      <c r="B5" s="3" t="s">
        <v>5</v>
      </c>
      <c r="C5" s="3">
        <v>50</v>
      </c>
      <c r="D5" s="3" t="s">
        <v>9</v>
      </c>
      <c r="E5" s="3">
        <v>1</v>
      </c>
      <c r="F5" s="3">
        <v>0.26571937400149198</v>
      </c>
      <c r="I5" s="3" t="s">
        <v>6</v>
      </c>
      <c r="J5" s="3">
        <v>0.26571937400149198</v>
      </c>
      <c r="L5" s="3" t="s">
        <v>3</v>
      </c>
      <c r="M5" s="3">
        <v>0.10698024899465999</v>
      </c>
      <c r="O5" t="s">
        <v>3</v>
      </c>
      <c r="P5" t="s">
        <v>6</v>
      </c>
    </row>
    <row r="6" spans="1:16">
      <c r="A6" s="3" t="s">
        <v>6</v>
      </c>
      <c r="B6" s="3" t="s">
        <v>5</v>
      </c>
      <c r="C6" s="3">
        <v>150</v>
      </c>
      <c r="D6" s="3" t="s">
        <v>9</v>
      </c>
      <c r="E6" s="3">
        <v>1</v>
      </c>
      <c r="F6" s="3">
        <v>0.12763799901586001</v>
      </c>
      <c r="I6" s="3" t="s">
        <v>6</v>
      </c>
      <c r="J6" s="3">
        <v>0.12763799901586001</v>
      </c>
      <c r="L6" s="3" t="s">
        <v>3</v>
      </c>
      <c r="M6" s="3">
        <v>0.21528566599590701</v>
      </c>
      <c r="N6" t="s">
        <v>29</v>
      </c>
      <c r="O6">
        <f>AVERAGE(E3:E50)*100</f>
        <v>97.916666666666657</v>
      </c>
      <c r="P6">
        <f>AVERAGE(E51:E98)*100</f>
        <v>100</v>
      </c>
    </row>
    <row r="7" spans="1:16">
      <c r="A7" s="3" t="s">
        <v>6</v>
      </c>
      <c r="B7" s="3" t="s">
        <v>4</v>
      </c>
      <c r="C7" s="3">
        <v>100</v>
      </c>
      <c r="D7" s="3" t="s">
        <v>8</v>
      </c>
      <c r="E7" s="3">
        <v>1</v>
      </c>
      <c r="F7" s="3">
        <v>0.151696916029323</v>
      </c>
      <c r="I7" s="3" t="s">
        <v>6</v>
      </c>
      <c r="J7" s="3">
        <v>0.151696916029323</v>
      </c>
      <c r="L7" s="3" t="s">
        <v>3</v>
      </c>
      <c r="M7" s="3">
        <v>0.77629524999065302</v>
      </c>
    </row>
    <row r="8" spans="1:16">
      <c r="A8" s="3" t="s">
        <v>6</v>
      </c>
      <c r="B8" s="3" t="s">
        <v>4</v>
      </c>
      <c r="C8" s="3">
        <v>150</v>
      </c>
      <c r="D8" s="3" t="s">
        <v>8</v>
      </c>
      <c r="E8" s="3">
        <v>1</v>
      </c>
      <c r="F8" s="3">
        <v>0.103231999964919</v>
      </c>
      <c r="I8" s="3" t="s">
        <v>6</v>
      </c>
      <c r="J8" s="3">
        <v>0.103231999964919</v>
      </c>
      <c r="L8" s="3" t="s">
        <v>3</v>
      </c>
      <c r="M8" s="3">
        <v>0.19597283296752699</v>
      </c>
    </row>
    <row r="9" spans="1:16">
      <c r="A9" s="3" t="s">
        <v>6</v>
      </c>
      <c r="B9" s="3" t="s">
        <v>4</v>
      </c>
      <c r="C9" s="3">
        <v>150</v>
      </c>
      <c r="D9" s="3" t="s">
        <v>8</v>
      </c>
      <c r="E9" s="3">
        <v>1</v>
      </c>
      <c r="F9" s="3">
        <v>0.107478416990489</v>
      </c>
      <c r="I9" s="3" t="s">
        <v>6</v>
      </c>
      <c r="J9" s="3">
        <v>0.107478416990489</v>
      </c>
      <c r="L9" s="3" t="s">
        <v>3</v>
      </c>
      <c r="M9" s="3">
        <v>0.19870587403420401</v>
      </c>
    </row>
    <row r="10" spans="1:16">
      <c r="A10" s="3" t="s">
        <v>6</v>
      </c>
      <c r="B10" s="3" t="s">
        <v>4</v>
      </c>
      <c r="C10" s="3">
        <v>50</v>
      </c>
      <c r="D10" s="3" t="s">
        <v>8</v>
      </c>
      <c r="E10" s="3">
        <v>1</v>
      </c>
      <c r="F10" s="3">
        <v>0.23516845802078001</v>
      </c>
      <c r="I10" s="3" t="s">
        <v>6</v>
      </c>
      <c r="J10" s="3">
        <v>0.23516845802078001</v>
      </c>
      <c r="L10" s="3" t="s">
        <v>3</v>
      </c>
      <c r="M10" s="3">
        <v>0.124010833038483</v>
      </c>
    </row>
    <row r="11" spans="1:16">
      <c r="A11" s="3" t="s">
        <v>6</v>
      </c>
      <c r="B11" s="3" t="s">
        <v>5</v>
      </c>
      <c r="C11" s="3">
        <v>150</v>
      </c>
      <c r="D11" s="3" t="s">
        <v>9</v>
      </c>
      <c r="E11" s="3">
        <v>1</v>
      </c>
      <c r="F11" s="3">
        <v>0.12599204096477501</v>
      </c>
      <c r="I11" s="3" t="s">
        <v>6</v>
      </c>
      <c r="J11" s="3">
        <v>0.12599204096477501</v>
      </c>
      <c r="L11" s="3" t="s">
        <v>3</v>
      </c>
      <c r="M11" s="3">
        <v>0.14411366701824599</v>
      </c>
    </row>
    <row r="12" spans="1:16">
      <c r="A12" s="3" t="s">
        <v>6</v>
      </c>
      <c r="B12" s="3" t="s">
        <v>5</v>
      </c>
      <c r="C12" s="3">
        <v>150</v>
      </c>
      <c r="D12" s="3" t="s">
        <v>9</v>
      </c>
      <c r="E12" s="3">
        <v>1</v>
      </c>
      <c r="F12" s="3">
        <v>0.149201082997024</v>
      </c>
      <c r="I12" s="3" t="s">
        <v>6</v>
      </c>
      <c r="J12" s="3">
        <v>0.149201082997024</v>
      </c>
      <c r="L12" s="3" t="s">
        <v>3</v>
      </c>
      <c r="M12" s="3">
        <v>0.31774658302310899</v>
      </c>
    </row>
    <row r="13" spans="1:16">
      <c r="A13" s="3" t="s">
        <v>6</v>
      </c>
      <c r="B13" s="3" t="s">
        <v>4</v>
      </c>
      <c r="C13" s="3">
        <v>100</v>
      </c>
      <c r="D13" s="3" t="s">
        <v>8</v>
      </c>
      <c r="E13" s="3">
        <v>1</v>
      </c>
      <c r="F13" s="3">
        <v>0.21390887396410099</v>
      </c>
      <c r="I13" s="3" t="s">
        <v>6</v>
      </c>
      <c r="J13" s="3">
        <v>0.21390887396410099</v>
      </c>
      <c r="L13" s="3" t="s">
        <v>3</v>
      </c>
      <c r="M13" s="3">
        <v>3.7326167046558098E-2</v>
      </c>
    </row>
    <row r="14" spans="1:16">
      <c r="A14" s="3" t="s">
        <v>6</v>
      </c>
      <c r="B14" s="3" t="s">
        <v>4</v>
      </c>
      <c r="C14" s="3">
        <v>150</v>
      </c>
      <c r="D14" s="3" t="s">
        <v>8</v>
      </c>
      <c r="E14" s="3">
        <v>1</v>
      </c>
      <c r="F14" s="3">
        <v>8.5503250011242898E-2</v>
      </c>
      <c r="I14" s="3" t="s">
        <v>6</v>
      </c>
      <c r="J14" s="3">
        <v>8.5503250011242898E-2</v>
      </c>
      <c r="L14" s="3" t="s">
        <v>3</v>
      </c>
      <c r="M14" s="3">
        <v>0.26374654099345202</v>
      </c>
    </row>
    <row r="15" spans="1:16">
      <c r="A15" s="3" t="s">
        <v>6</v>
      </c>
      <c r="B15" s="3" t="s">
        <v>5</v>
      </c>
      <c r="C15" s="3">
        <v>50</v>
      </c>
      <c r="D15" s="3" t="s">
        <v>9</v>
      </c>
      <c r="E15" s="3">
        <v>1</v>
      </c>
      <c r="F15" s="3">
        <v>0.21918979199836</v>
      </c>
      <c r="I15" s="3" t="s">
        <v>6</v>
      </c>
      <c r="J15" s="3">
        <v>0.21918979199836</v>
      </c>
      <c r="L15" s="3" t="s">
        <v>3</v>
      </c>
      <c r="M15" s="3">
        <v>0.18350187502801399</v>
      </c>
    </row>
    <row r="16" spans="1:16">
      <c r="A16" s="3" t="s">
        <v>6</v>
      </c>
      <c r="B16" s="3" t="s">
        <v>5</v>
      </c>
      <c r="C16" s="3">
        <v>50</v>
      </c>
      <c r="D16" s="3" t="s">
        <v>9</v>
      </c>
      <c r="E16" s="3">
        <v>1</v>
      </c>
      <c r="F16" s="3">
        <v>0.16831049899337799</v>
      </c>
      <c r="I16" s="3" t="s">
        <v>6</v>
      </c>
      <c r="J16" s="3">
        <v>0.16831049899337799</v>
      </c>
      <c r="L16" s="3" t="s">
        <v>3</v>
      </c>
      <c r="M16" s="3">
        <v>8.9196541986893904E-2</v>
      </c>
    </row>
    <row r="17" spans="1:13">
      <c r="A17" s="3" t="s">
        <v>6</v>
      </c>
      <c r="B17" s="3" t="s">
        <v>5</v>
      </c>
      <c r="C17" s="3">
        <v>50</v>
      </c>
      <c r="D17" s="3" t="s">
        <v>9</v>
      </c>
      <c r="E17" s="3">
        <v>1</v>
      </c>
      <c r="F17" s="3">
        <v>0.20560712495353101</v>
      </c>
      <c r="I17" s="3" t="s">
        <v>6</v>
      </c>
      <c r="J17" s="3">
        <v>0.20560712495353101</v>
      </c>
      <c r="L17" s="3" t="s">
        <v>3</v>
      </c>
      <c r="M17" s="3">
        <v>9.9675623991061002E-2</v>
      </c>
    </row>
    <row r="18" spans="1:13">
      <c r="A18" s="3" t="s">
        <v>6</v>
      </c>
      <c r="B18" s="3" t="s">
        <v>4</v>
      </c>
      <c r="C18" s="3">
        <v>50</v>
      </c>
      <c r="D18" s="3" t="s">
        <v>8</v>
      </c>
      <c r="E18" s="3">
        <v>1</v>
      </c>
      <c r="F18" s="3">
        <v>0.25883937499020299</v>
      </c>
      <c r="I18" s="3" t="s">
        <v>6</v>
      </c>
      <c r="J18" s="3">
        <v>0.25883937499020299</v>
      </c>
      <c r="L18" s="3" t="s">
        <v>3</v>
      </c>
      <c r="M18" s="3">
        <v>0.233024624991231</v>
      </c>
    </row>
    <row r="19" spans="1:13">
      <c r="A19" s="3" t="s">
        <v>6</v>
      </c>
      <c r="B19" s="3" t="s">
        <v>4</v>
      </c>
      <c r="C19" s="3">
        <v>150</v>
      </c>
      <c r="D19" s="3" t="s">
        <v>8</v>
      </c>
      <c r="E19" s="3">
        <v>1</v>
      </c>
      <c r="F19" s="3">
        <v>4.5114332984667299E-2</v>
      </c>
      <c r="I19" s="3" t="s">
        <v>6</v>
      </c>
      <c r="J19" s="3">
        <v>4.5114332984667299E-2</v>
      </c>
      <c r="L19" s="3" t="s">
        <v>3</v>
      </c>
      <c r="M19" s="3">
        <v>0.14588699996238599</v>
      </c>
    </row>
    <row r="20" spans="1:13">
      <c r="A20" s="3" t="s">
        <v>6</v>
      </c>
      <c r="B20" s="3" t="s">
        <v>4</v>
      </c>
      <c r="C20" s="3">
        <v>150</v>
      </c>
      <c r="D20" s="3" t="s">
        <v>8</v>
      </c>
      <c r="E20" s="3">
        <v>1</v>
      </c>
      <c r="F20" s="3">
        <v>6.2173167010769297E-2</v>
      </c>
      <c r="I20" s="3" t="s">
        <v>6</v>
      </c>
      <c r="J20" s="3">
        <v>6.2173167010769297E-2</v>
      </c>
      <c r="L20" s="3" t="s">
        <v>3</v>
      </c>
      <c r="M20" s="3">
        <v>0.36807237501488999</v>
      </c>
    </row>
    <row r="21" spans="1:13">
      <c r="A21" s="3" t="s">
        <v>6</v>
      </c>
      <c r="B21" s="3" t="s">
        <v>5</v>
      </c>
      <c r="C21" s="3">
        <v>100</v>
      </c>
      <c r="D21" s="3" t="s">
        <v>8</v>
      </c>
      <c r="E21" s="3">
        <v>1</v>
      </c>
      <c r="F21" s="3">
        <v>0.23758191597880801</v>
      </c>
      <c r="I21" s="3" t="s">
        <v>6</v>
      </c>
      <c r="J21" s="3">
        <v>0.23758191597880801</v>
      </c>
      <c r="L21" s="3" t="s">
        <v>3</v>
      </c>
      <c r="M21" s="3">
        <v>0.147297082992736</v>
      </c>
    </row>
    <row r="22" spans="1:13">
      <c r="A22" s="3" t="s">
        <v>6</v>
      </c>
      <c r="B22" s="3" t="s">
        <v>5</v>
      </c>
      <c r="C22" s="3">
        <v>100</v>
      </c>
      <c r="D22" s="3" t="s">
        <v>9</v>
      </c>
      <c r="E22" s="3">
        <v>1</v>
      </c>
      <c r="F22" s="3">
        <v>0.15944395796395799</v>
      </c>
      <c r="I22" s="3" t="s">
        <v>6</v>
      </c>
      <c r="J22" s="3">
        <v>0.15944395796395799</v>
      </c>
      <c r="L22" s="3" t="s">
        <v>3</v>
      </c>
      <c r="M22" s="3">
        <v>0.25037591601721898</v>
      </c>
    </row>
    <row r="23" spans="1:13">
      <c r="A23" s="3" t="s">
        <v>6</v>
      </c>
      <c r="B23" s="3" t="s">
        <v>4</v>
      </c>
      <c r="C23" s="3">
        <v>100</v>
      </c>
      <c r="D23" s="3" t="s">
        <v>8</v>
      </c>
      <c r="E23" s="3">
        <v>1</v>
      </c>
      <c r="F23" s="3">
        <v>0.17173054098384499</v>
      </c>
      <c r="I23" s="3" t="s">
        <v>6</v>
      </c>
      <c r="J23" s="3">
        <v>0.17173054098384499</v>
      </c>
      <c r="L23" s="3" t="s">
        <v>3</v>
      </c>
      <c r="M23" s="3">
        <v>0.174817790975794</v>
      </c>
    </row>
    <row r="24" spans="1:13">
      <c r="A24" s="3" t="s">
        <v>6</v>
      </c>
      <c r="B24" s="3" t="s">
        <v>5</v>
      </c>
      <c r="C24" s="3">
        <v>100</v>
      </c>
      <c r="D24" s="3" t="s">
        <v>9</v>
      </c>
      <c r="E24" s="3">
        <v>1</v>
      </c>
      <c r="F24" s="3">
        <v>0.1572304990259</v>
      </c>
      <c r="I24" s="3" t="s">
        <v>6</v>
      </c>
      <c r="J24" s="3">
        <v>0.1572304990259</v>
      </c>
      <c r="L24" s="3" t="s">
        <v>3</v>
      </c>
      <c r="M24" s="3">
        <v>0.34167704096762502</v>
      </c>
    </row>
    <row r="25" spans="1:13">
      <c r="A25" s="3" t="s">
        <v>6</v>
      </c>
      <c r="B25" s="3" t="s">
        <v>5</v>
      </c>
      <c r="C25" s="3">
        <v>100</v>
      </c>
      <c r="D25" s="3" t="s">
        <v>9</v>
      </c>
      <c r="E25" s="3">
        <v>1</v>
      </c>
      <c r="F25" s="3">
        <v>0.139347042015288</v>
      </c>
      <c r="I25" s="3" t="s">
        <v>6</v>
      </c>
      <c r="J25" s="3">
        <v>0.139347042015288</v>
      </c>
      <c r="L25" s="3" t="s">
        <v>3</v>
      </c>
      <c r="M25" s="3">
        <v>0.40083112503634799</v>
      </c>
    </row>
    <row r="26" spans="1:13">
      <c r="A26" s="3" t="s">
        <v>6</v>
      </c>
      <c r="B26" s="3" t="s">
        <v>4</v>
      </c>
      <c r="C26" s="3">
        <v>100</v>
      </c>
      <c r="D26" s="3" t="s">
        <v>8</v>
      </c>
      <c r="E26" s="3">
        <v>1</v>
      </c>
      <c r="F26" s="3">
        <v>0.19661904196254901</v>
      </c>
      <c r="I26" s="3" t="s">
        <v>6</v>
      </c>
      <c r="J26" s="3">
        <v>0.19661904196254901</v>
      </c>
      <c r="L26" s="3" t="s">
        <v>3</v>
      </c>
      <c r="M26" s="3">
        <v>0.32125987403560402</v>
      </c>
    </row>
    <row r="27" spans="1:13">
      <c r="A27" s="3" t="s">
        <v>6</v>
      </c>
      <c r="B27" s="3" t="s">
        <v>5</v>
      </c>
      <c r="C27" s="3">
        <v>50</v>
      </c>
      <c r="D27" s="3" t="s">
        <v>9</v>
      </c>
      <c r="E27" s="3">
        <v>1</v>
      </c>
      <c r="F27" s="3">
        <v>0.19993649900425201</v>
      </c>
      <c r="I27" s="3" t="s">
        <v>6</v>
      </c>
      <c r="J27" s="3">
        <v>0.19993649900425201</v>
      </c>
      <c r="L27" s="3" t="s">
        <v>3</v>
      </c>
      <c r="M27" s="3">
        <v>0.25568987498991202</v>
      </c>
    </row>
    <row r="28" spans="1:13">
      <c r="A28" s="3" t="s">
        <v>6</v>
      </c>
      <c r="B28" s="3" t="s">
        <v>4</v>
      </c>
      <c r="C28" s="3">
        <v>50</v>
      </c>
      <c r="D28" s="3" t="s">
        <v>8</v>
      </c>
      <c r="E28" s="3">
        <v>1</v>
      </c>
      <c r="F28" s="3">
        <v>0.29338087403448299</v>
      </c>
      <c r="I28" s="3" t="s">
        <v>6</v>
      </c>
      <c r="J28" s="3">
        <v>0.29338087403448299</v>
      </c>
      <c r="L28" s="3" t="s">
        <v>3</v>
      </c>
      <c r="M28" s="3">
        <v>0.42780950001906598</v>
      </c>
    </row>
    <row r="29" spans="1:13">
      <c r="A29" s="3" t="s">
        <v>6</v>
      </c>
      <c r="B29" s="3" t="s">
        <v>4</v>
      </c>
      <c r="C29" s="3">
        <v>100</v>
      </c>
      <c r="D29" s="3" t="s">
        <v>8</v>
      </c>
      <c r="E29" s="3">
        <v>1</v>
      </c>
      <c r="F29" s="3">
        <v>0.16877845796989299</v>
      </c>
      <c r="I29" s="3" t="s">
        <v>6</v>
      </c>
      <c r="J29" s="3">
        <v>0.16877845796989299</v>
      </c>
      <c r="L29" s="3" t="s">
        <v>3</v>
      </c>
      <c r="M29" s="3">
        <v>0.332326333038509</v>
      </c>
    </row>
    <row r="30" spans="1:13">
      <c r="A30" s="3" t="s">
        <v>6</v>
      </c>
      <c r="B30" s="3" t="s">
        <v>5</v>
      </c>
      <c r="C30" s="3">
        <v>150</v>
      </c>
      <c r="D30" s="3" t="s">
        <v>9</v>
      </c>
      <c r="E30" s="3">
        <v>1</v>
      </c>
      <c r="F30" s="3">
        <v>0.206576499971561</v>
      </c>
      <c r="I30" s="3" t="s">
        <v>6</v>
      </c>
      <c r="J30" s="3">
        <v>0.206576499971561</v>
      </c>
      <c r="L30" s="3" t="s">
        <v>3</v>
      </c>
      <c r="M30" s="3">
        <v>8.2061416003853097E-2</v>
      </c>
    </row>
    <row r="31" spans="1:13">
      <c r="A31" s="3" t="s">
        <v>6</v>
      </c>
      <c r="B31" s="3" t="s">
        <v>4</v>
      </c>
      <c r="C31" s="3">
        <v>150</v>
      </c>
      <c r="D31" s="3" t="s">
        <v>8</v>
      </c>
      <c r="E31" s="3">
        <v>1</v>
      </c>
      <c r="F31" s="3">
        <v>0.120338583015837</v>
      </c>
      <c r="I31" s="3" t="s">
        <v>6</v>
      </c>
      <c r="J31" s="3">
        <v>0.120338583015837</v>
      </c>
      <c r="L31" s="3" t="s">
        <v>3</v>
      </c>
      <c r="M31" s="3">
        <v>0.133334166021086</v>
      </c>
    </row>
    <row r="32" spans="1:13">
      <c r="A32" s="3" t="s">
        <v>6</v>
      </c>
      <c r="B32" s="3" t="s">
        <v>4</v>
      </c>
      <c r="C32" s="3">
        <v>150</v>
      </c>
      <c r="D32" s="3" t="s">
        <v>8</v>
      </c>
      <c r="E32" s="3">
        <v>1</v>
      </c>
      <c r="F32" s="3">
        <v>0.18301124899880999</v>
      </c>
      <c r="I32" s="3" t="s">
        <v>6</v>
      </c>
      <c r="J32" s="3">
        <v>0.18301124899880999</v>
      </c>
      <c r="L32" s="3" t="s">
        <v>3</v>
      </c>
      <c r="M32" s="3">
        <v>6.7875332955736695E-2</v>
      </c>
    </row>
    <row r="33" spans="1:13">
      <c r="A33" s="3" t="s">
        <v>6</v>
      </c>
      <c r="B33" s="3" t="s">
        <v>5</v>
      </c>
      <c r="C33" s="3">
        <v>100</v>
      </c>
      <c r="D33" s="3" t="s">
        <v>9</v>
      </c>
      <c r="E33" s="3">
        <v>1</v>
      </c>
      <c r="F33" s="3">
        <v>0.233722082979511</v>
      </c>
      <c r="I33" s="3" t="s">
        <v>6</v>
      </c>
      <c r="J33" s="3">
        <v>0.233722082979511</v>
      </c>
      <c r="L33" s="3" t="s">
        <v>3</v>
      </c>
      <c r="M33" s="3">
        <v>0.10284716595197101</v>
      </c>
    </row>
    <row r="34" spans="1:13">
      <c r="A34" s="3" t="s">
        <v>6</v>
      </c>
      <c r="B34" s="3" t="s">
        <v>4</v>
      </c>
      <c r="C34" s="3">
        <v>100</v>
      </c>
      <c r="D34" s="3" t="s">
        <v>8</v>
      </c>
      <c r="E34" s="3">
        <v>1</v>
      </c>
      <c r="F34" s="3">
        <v>0.14444750000257001</v>
      </c>
      <c r="I34" s="3" t="s">
        <v>6</v>
      </c>
      <c r="J34" s="3">
        <v>0.14444750000257001</v>
      </c>
      <c r="L34" s="3" t="s">
        <v>3</v>
      </c>
      <c r="M34" s="3">
        <v>0.114127875014674</v>
      </c>
    </row>
    <row r="35" spans="1:13">
      <c r="A35" s="3" t="s">
        <v>6</v>
      </c>
      <c r="B35" s="3" t="s">
        <v>4</v>
      </c>
      <c r="C35" s="3">
        <v>150</v>
      </c>
      <c r="D35" s="3" t="s">
        <v>8</v>
      </c>
      <c r="E35" s="3">
        <v>1</v>
      </c>
      <c r="F35" s="3">
        <v>6.44682080019265E-2</v>
      </c>
      <c r="I35" s="3" t="s">
        <v>6</v>
      </c>
      <c r="J35" s="3">
        <v>6.44682080019265E-2</v>
      </c>
      <c r="L35" s="3" t="s">
        <v>3</v>
      </c>
      <c r="M35" s="3">
        <v>1.9883625034708498E-2</v>
      </c>
    </row>
    <row r="36" spans="1:13">
      <c r="A36" s="3" t="s">
        <v>6</v>
      </c>
      <c r="B36" s="3" t="s">
        <v>4</v>
      </c>
      <c r="C36" s="3">
        <v>50</v>
      </c>
      <c r="D36" s="3" t="s">
        <v>8</v>
      </c>
      <c r="E36" s="3">
        <v>1</v>
      </c>
      <c r="F36" s="3">
        <v>0.211794166010804</v>
      </c>
      <c r="I36" s="3" t="s">
        <v>6</v>
      </c>
      <c r="J36" s="3">
        <v>0.211794166010804</v>
      </c>
      <c r="L36" s="3" t="s">
        <v>3</v>
      </c>
      <c r="M36" s="3">
        <v>0.434831332997419</v>
      </c>
    </row>
    <row r="37" spans="1:13">
      <c r="A37" s="3" t="s">
        <v>6</v>
      </c>
      <c r="B37" s="3" t="s">
        <v>5</v>
      </c>
      <c r="C37" s="3">
        <v>100</v>
      </c>
      <c r="D37" s="3" t="s">
        <v>9</v>
      </c>
      <c r="E37" s="3">
        <v>1</v>
      </c>
      <c r="F37" s="3">
        <v>0.302697208011523</v>
      </c>
      <c r="I37" s="3" t="s">
        <v>6</v>
      </c>
      <c r="J37" s="3">
        <v>0.302697208011523</v>
      </c>
      <c r="L37" s="3" t="s">
        <v>3</v>
      </c>
      <c r="M37" s="3">
        <v>9.9254040978848906E-2</v>
      </c>
    </row>
    <row r="38" spans="1:13">
      <c r="A38" s="3" t="s">
        <v>6</v>
      </c>
      <c r="B38" s="3" t="s">
        <v>4</v>
      </c>
      <c r="C38" s="3">
        <v>150</v>
      </c>
      <c r="D38" s="3" t="s">
        <v>8</v>
      </c>
      <c r="E38" s="3">
        <v>1</v>
      </c>
      <c r="F38" s="3">
        <v>9.8367999016772997E-2</v>
      </c>
      <c r="I38" s="3" t="s">
        <v>6</v>
      </c>
      <c r="J38" s="3">
        <v>9.8367999016772997E-2</v>
      </c>
      <c r="L38" s="3" t="s">
        <v>3</v>
      </c>
      <c r="M38" s="3">
        <v>0.141408082970884</v>
      </c>
    </row>
    <row r="39" spans="1:13">
      <c r="A39" s="3" t="s">
        <v>6</v>
      </c>
      <c r="B39" s="3" t="s">
        <v>5</v>
      </c>
      <c r="C39" s="3">
        <v>50</v>
      </c>
      <c r="D39" s="3" t="s">
        <v>9</v>
      </c>
      <c r="E39" s="3">
        <v>1</v>
      </c>
      <c r="F39" s="3">
        <v>0.38939512497745499</v>
      </c>
      <c r="I39" s="3" t="s">
        <v>6</v>
      </c>
      <c r="J39" s="3">
        <v>0.38939512497745499</v>
      </c>
      <c r="L39" s="3" t="s">
        <v>3</v>
      </c>
      <c r="M39" s="3">
        <v>8.7233000027481494E-2</v>
      </c>
    </row>
    <row r="40" spans="1:13">
      <c r="A40" s="3" t="s">
        <v>6</v>
      </c>
      <c r="B40" s="3" t="s">
        <v>5</v>
      </c>
      <c r="C40" s="3">
        <v>50</v>
      </c>
      <c r="D40" s="3" t="s">
        <v>8</v>
      </c>
      <c r="E40" s="3">
        <v>1</v>
      </c>
      <c r="F40" s="3">
        <v>9.4391083053778899E-2</v>
      </c>
      <c r="I40" s="3" t="s">
        <v>6</v>
      </c>
      <c r="J40" s="3">
        <v>9.4391083053778899E-2</v>
      </c>
      <c r="L40" s="3" t="s">
        <v>3</v>
      </c>
      <c r="M40" s="3">
        <v>0.39754166599595903</v>
      </c>
    </row>
    <row r="41" spans="1:13">
      <c r="A41" s="3" t="s">
        <v>6</v>
      </c>
      <c r="B41" s="3" t="s">
        <v>5</v>
      </c>
      <c r="C41" s="3">
        <v>50</v>
      </c>
      <c r="D41" s="3" t="s">
        <v>9</v>
      </c>
      <c r="E41" s="3">
        <v>1</v>
      </c>
      <c r="F41" s="3">
        <v>0.25656233303016102</v>
      </c>
      <c r="I41" s="3" t="s">
        <v>6</v>
      </c>
      <c r="J41" s="3">
        <v>0.25656233303016102</v>
      </c>
      <c r="L41" s="3" t="s">
        <v>3</v>
      </c>
      <c r="M41" s="3">
        <v>0.173830124025699</v>
      </c>
    </row>
    <row r="42" spans="1:13">
      <c r="A42" s="3" t="s">
        <v>6</v>
      </c>
      <c r="B42" s="3" t="s">
        <v>4</v>
      </c>
      <c r="C42" s="3">
        <v>50</v>
      </c>
      <c r="D42" s="3" t="s">
        <v>8</v>
      </c>
      <c r="E42" s="3">
        <v>1</v>
      </c>
      <c r="F42" s="3">
        <v>0.197371582966298</v>
      </c>
      <c r="I42" s="3" t="s">
        <v>6</v>
      </c>
      <c r="J42" s="3">
        <v>0.197371582966298</v>
      </c>
      <c r="L42" s="3" t="s">
        <v>3</v>
      </c>
      <c r="M42" s="3">
        <v>0.21611575002316399</v>
      </c>
    </row>
    <row r="43" spans="1:13">
      <c r="A43" s="3" t="s">
        <v>6</v>
      </c>
      <c r="B43" s="3" t="s">
        <v>5</v>
      </c>
      <c r="C43" s="3">
        <v>150</v>
      </c>
      <c r="D43" s="3" t="s">
        <v>9</v>
      </c>
      <c r="E43" s="3">
        <v>1</v>
      </c>
      <c r="F43" s="3">
        <v>0.227149665995967</v>
      </c>
      <c r="I43" s="3" t="s">
        <v>6</v>
      </c>
      <c r="J43" s="3">
        <v>0.227149665995967</v>
      </c>
      <c r="L43" s="3" t="s">
        <v>3</v>
      </c>
      <c r="M43" s="3">
        <v>5.6829583016224199E-2</v>
      </c>
    </row>
    <row r="44" spans="1:13">
      <c r="A44" s="3" t="s">
        <v>6</v>
      </c>
      <c r="B44" s="3" t="s">
        <v>4</v>
      </c>
      <c r="C44" s="3">
        <v>100</v>
      </c>
      <c r="D44" s="3" t="s">
        <v>8</v>
      </c>
      <c r="E44" s="3">
        <v>1</v>
      </c>
      <c r="F44" s="3">
        <v>0.26864154200302398</v>
      </c>
      <c r="I44" s="3" t="s">
        <v>6</v>
      </c>
      <c r="J44" s="3">
        <v>0.26864154200302398</v>
      </c>
      <c r="L44" s="3" t="s">
        <v>3</v>
      </c>
      <c r="M44" s="3">
        <v>4.4113915995694697E-2</v>
      </c>
    </row>
    <row r="45" spans="1:13">
      <c r="A45" s="3" t="s">
        <v>6</v>
      </c>
      <c r="B45" s="3" t="s">
        <v>5</v>
      </c>
      <c r="C45" s="3">
        <v>50</v>
      </c>
      <c r="D45" s="3" t="s">
        <v>9</v>
      </c>
      <c r="E45" s="3">
        <v>1</v>
      </c>
      <c r="F45" s="3">
        <v>0.48806937399785999</v>
      </c>
      <c r="I45" s="3" t="s">
        <v>6</v>
      </c>
      <c r="J45" s="3">
        <v>0.48806937399785999</v>
      </c>
      <c r="L45" s="3" t="s">
        <v>3</v>
      </c>
      <c r="M45" s="3">
        <v>0.11603424896020401</v>
      </c>
    </row>
    <row r="46" spans="1:13">
      <c r="A46" s="3" t="s">
        <v>6</v>
      </c>
      <c r="B46" s="3" t="s">
        <v>4</v>
      </c>
      <c r="C46" s="3">
        <v>50</v>
      </c>
      <c r="D46" s="3" t="s">
        <v>8</v>
      </c>
      <c r="E46" s="3">
        <v>1</v>
      </c>
      <c r="F46" s="3">
        <v>0.34065766702406097</v>
      </c>
      <c r="I46" s="3" t="s">
        <v>6</v>
      </c>
      <c r="J46" s="3">
        <v>0.34065766702406097</v>
      </c>
      <c r="L46" s="3" t="s">
        <v>3</v>
      </c>
      <c r="M46" s="3">
        <v>0.61842145799892001</v>
      </c>
    </row>
    <row r="47" spans="1:13">
      <c r="A47" s="3" t="s">
        <v>6</v>
      </c>
      <c r="B47" s="3" t="s">
        <v>5</v>
      </c>
      <c r="C47" s="3">
        <v>100</v>
      </c>
      <c r="D47" s="3" t="s">
        <v>9</v>
      </c>
      <c r="E47" s="3">
        <v>1</v>
      </c>
      <c r="F47" s="3">
        <v>0.51011270796880104</v>
      </c>
      <c r="I47" s="3" t="s">
        <v>6</v>
      </c>
      <c r="J47" s="3">
        <v>0.51011270796880104</v>
      </c>
      <c r="L47" s="3" t="s">
        <v>3</v>
      </c>
      <c r="M47" s="3">
        <v>0.21166516595985699</v>
      </c>
    </row>
    <row r="48" spans="1:13">
      <c r="A48" s="3" t="s">
        <v>6</v>
      </c>
      <c r="B48" s="3" t="s">
        <v>4</v>
      </c>
      <c r="C48" s="3">
        <v>150</v>
      </c>
      <c r="D48" s="3" t="s">
        <v>8</v>
      </c>
      <c r="E48" s="3">
        <v>1</v>
      </c>
      <c r="F48" s="3">
        <v>0.22342462500091601</v>
      </c>
      <c r="I48" s="3" t="s">
        <v>6</v>
      </c>
      <c r="J48" s="3">
        <v>0.22342462500091601</v>
      </c>
      <c r="L48" s="3" t="s">
        <v>3</v>
      </c>
      <c r="M48" s="3">
        <v>0.27108291699551001</v>
      </c>
    </row>
    <row r="49" spans="1:13">
      <c r="A49" s="3" t="s">
        <v>6</v>
      </c>
      <c r="B49" s="3" t="s">
        <v>4</v>
      </c>
      <c r="C49" s="3">
        <v>100</v>
      </c>
      <c r="D49" s="3" t="s">
        <v>8</v>
      </c>
      <c r="E49" s="3">
        <v>1</v>
      </c>
      <c r="F49" s="3">
        <v>0.36647816596087102</v>
      </c>
      <c r="I49" s="3" t="s">
        <v>6</v>
      </c>
      <c r="J49" s="3">
        <v>0.36647816596087102</v>
      </c>
      <c r="L49" s="3" t="s">
        <v>3</v>
      </c>
      <c r="M49" s="3">
        <v>0.17383333301404499</v>
      </c>
    </row>
    <row r="50" spans="1:13">
      <c r="A50" s="3" t="s">
        <v>6</v>
      </c>
      <c r="B50" s="3" t="s">
        <v>5</v>
      </c>
      <c r="C50" s="3">
        <v>150</v>
      </c>
      <c r="D50" s="3" t="s">
        <v>9</v>
      </c>
      <c r="E50" s="3">
        <v>1</v>
      </c>
      <c r="F50" s="3">
        <v>0.23227300000144199</v>
      </c>
      <c r="I50" s="3" t="s">
        <v>6</v>
      </c>
      <c r="J50" s="3">
        <v>0.23227300000144199</v>
      </c>
      <c r="L50" s="3" t="s">
        <v>3</v>
      </c>
      <c r="M50" s="3">
        <v>0.19094091601436999</v>
      </c>
    </row>
    <row r="51" spans="1:13">
      <c r="A51" s="3" t="s">
        <v>3</v>
      </c>
      <c r="B51" s="3" t="s">
        <v>5</v>
      </c>
      <c r="C51" s="3">
        <v>50</v>
      </c>
      <c r="D51" s="3" t="s">
        <v>9</v>
      </c>
      <c r="E51" s="3">
        <v>1</v>
      </c>
      <c r="F51" s="3">
        <v>0.32720683299703501</v>
      </c>
      <c r="L51" s="3" t="s">
        <v>3</v>
      </c>
      <c r="M51" s="3">
        <v>0.13011262501822801</v>
      </c>
    </row>
    <row r="52" spans="1:13">
      <c r="A52" s="3" t="s">
        <v>3</v>
      </c>
      <c r="B52" s="3" t="s">
        <v>5</v>
      </c>
      <c r="C52" s="3">
        <v>150</v>
      </c>
      <c r="D52" s="3" t="s">
        <v>9</v>
      </c>
      <c r="E52" s="3">
        <v>1</v>
      </c>
      <c r="F52" s="3">
        <v>0.10698024899465999</v>
      </c>
      <c r="I52" s="3" t="s">
        <v>12</v>
      </c>
      <c r="J52">
        <f>AVERAGE(J4:J50)</f>
        <v>0.20682954218763702</v>
      </c>
      <c r="L52" s="3" t="s">
        <v>12</v>
      </c>
      <c r="M52">
        <f>AVERAGE(M4:M51)</f>
        <v>0.21587939200253459</v>
      </c>
    </row>
    <row r="53" spans="1:13">
      <c r="A53" s="3" t="s">
        <v>3</v>
      </c>
      <c r="B53" s="3" t="s">
        <v>5</v>
      </c>
      <c r="C53" s="3">
        <v>50</v>
      </c>
      <c r="D53" s="3" t="s">
        <v>9</v>
      </c>
      <c r="E53" s="3">
        <v>1</v>
      </c>
      <c r="F53" s="3">
        <v>0.21528566599590701</v>
      </c>
    </row>
    <row r="54" spans="1:13">
      <c r="A54" s="3" t="s">
        <v>3</v>
      </c>
      <c r="B54" s="3" t="s">
        <v>4</v>
      </c>
      <c r="C54" s="3">
        <v>100</v>
      </c>
      <c r="D54" s="3" t="s">
        <v>8</v>
      </c>
      <c r="E54" s="3">
        <v>1</v>
      </c>
      <c r="F54" s="3">
        <v>0.77629524999065302</v>
      </c>
      <c r="H54" s="3" t="s">
        <v>17</v>
      </c>
      <c r="I54" t="s">
        <v>14</v>
      </c>
      <c r="J54" t="s">
        <v>15</v>
      </c>
    </row>
    <row r="55" spans="1:13" ht="18">
      <c r="A55" s="3" t="s">
        <v>3</v>
      </c>
      <c r="B55" s="3" t="s">
        <v>5</v>
      </c>
      <c r="C55" s="3">
        <v>100</v>
      </c>
      <c r="D55" s="3" t="s">
        <v>9</v>
      </c>
      <c r="E55" s="3">
        <v>1</v>
      </c>
      <c r="F55" s="3">
        <v>0.19597283296752699</v>
      </c>
      <c r="H55" s="3">
        <v>50</v>
      </c>
      <c r="I55" s="7">
        <f>AVERAGEIFS(F:F, A:A,"valid", C:C,50)</f>
        <v>0.26282959413947543</v>
      </c>
      <c r="J55" s="7">
        <f>AVERAGEIFS(F:F, A:A,"invalid", C:C,50)</f>
        <v>0.25853811937849974</v>
      </c>
    </row>
    <row r="56" spans="1:13" ht="18">
      <c r="A56" s="3" t="s">
        <v>3</v>
      </c>
      <c r="B56" s="3" t="s">
        <v>5</v>
      </c>
      <c r="C56" s="3">
        <v>150</v>
      </c>
      <c r="D56" s="3" t="s">
        <v>9</v>
      </c>
      <c r="E56" s="3">
        <v>1</v>
      </c>
      <c r="F56" s="3">
        <v>0.19870587403420401</v>
      </c>
      <c r="H56" s="3">
        <v>100</v>
      </c>
      <c r="I56" s="7">
        <f>AVERAGEIFS(F:F, A:A,"valid", C:C,100)</f>
        <v>0.25710374236052086</v>
      </c>
      <c r="J56" s="7">
        <f>AVERAGEIFS(F:F, A:A,"invalid", C:C,100)</f>
        <v>0.2281624301879977</v>
      </c>
    </row>
    <row r="57" spans="1:13" ht="18">
      <c r="A57" s="3" t="s">
        <v>3</v>
      </c>
      <c r="B57" s="3" t="s">
        <v>4</v>
      </c>
      <c r="C57" s="3">
        <v>150</v>
      </c>
      <c r="D57" s="3" t="s">
        <v>8</v>
      </c>
      <c r="E57" s="3">
        <v>1</v>
      </c>
      <c r="F57" s="3">
        <v>0.124010833038483</v>
      </c>
      <c r="H57" s="3">
        <v>150</v>
      </c>
      <c r="I57" s="7">
        <f>AVERAGEIFS(F:F, A:A,"valid", C:C,150)</f>
        <v>0.12806270524379221</v>
      </c>
      <c r="J57" s="7">
        <f>AVERAGEIFS(F:F, A:A,"invalid", C:C,150)</f>
        <v>0.13512138249643618</v>
      </c>
    </row>
    <row r="58" spans="1:13">
      <c r="A58" s="3" t="s">
        <v>3</v>
      </c>
      <c r="B58" s="3" t="s">
        <v>4</v>
      </c>
      <c r="C58" s="3">
        <v>100</v>
      </c>
      <c r="D58" s="3" t="s">
        <v>8</v>
      </c>
      <c r="E58" s="3">
        <v>1</v>
      </c>
      <c r="F58" s="3">
        <v>0.14411366701824599</v>
      </c>
    </row>
    <row r="59" spans="1:13">
      <c r="A59" s="3" t="s">
        <v>3</v>
      </c>
      <c r="B59" s="3" t="s">
        <v>4</v>
      </c>
      <c r="C59" s="3">
        <v>50</v>
      </c>
      <c r="D59" s="3" t="s">
        <v>8</v>
      </c>
      <c r="E59" s="3">
        <v>1</v>
      </c>
      <c r="F59" s="3">
        <v>0.31774658302310899</v>
      </c>
    </row>
    <row r="60" spans="1:13">
      <c r="A60" s="3" t="s">
        <v>3</v>
      </c>
      <c r="B60" s="3" t="s">
        <v>5</v>
      </c>
      <c r="C60" s="3">
        <v>50</v>
      </c>
      <c r="D60" s="3" t="s">
        <v>8</v>
      </c>
      <c r="E60" s="3">
        <v>1</v>
      </c>
      <c r="F60" s="3">
        <v>3.7326167046558098E-2</v>
      </c>
    </row>
    <row r="61" spans="1:13">
      <c r="A61" s="3" t="s">
        <v>3</v>
      </c>
      <c r="B61" s="3" t="s">
        <v>4</v>
      </c>
      <c r="C61" s="3">
        <v>50</v>
      </c>
      <c r="D61" s="3" t="s">
        <v>8</v>
      </c>
      <c r="E61" s="3">
        <v>1</v>
      </c>
      <c r="F61" s="3">
        <v>0.26374654099345202</v>
      </c>
    </row>
    <row r="62" spans="1:13">
      <c r="A62" s="3" t="s">
        <v>3</v>
      </c>
      <c r="B62" s="3" t="s">
        <v>4</v>
      </c>
      <c r="C62" s="3">
        <v>100</v>
      </c>
      <c r="D62" s="3" t="s">
        <v>8</v>
      </c>
      <c r="E62" s="3">
        <v>1</v>
      </c>
      <c r="F62" s="3">
        <v>0.18350187502801399</v>
      </c>
    </row>
    <row r="63" spans="1:13">
      <c r="A63" s="3" t="s">
        <v>3</v>
      </c>
      <c r="B63" s="3" t="s">
        <v>5</v>
      </c>
      <c r="C63" s="3">
        <v>150</v>
      </c>
      <c r="D63" s="3" t="s">
        <v>9</v>
      </c>
      <c r="E63" s="3">
        <v>1</v>
      </c>
      <c r="F63" s="3">
        <v>8.9196541986893904E-2</v>
      </c>
    </row>
    <row r="64" spans="1:13">
      <c r="A64" s="3" t="s">
        <v>3</v>
      </c>
      <c r="B64" s="3" t="s">
        <v>4</v>
      </c>
      <c r="C64" s="3">
        <v>150</v>
      </c>
      <c r="D64" s="3" t="s">
        <v>8</v>
      </c>
      <c r="E64" s="3">
        <v>1</v>
      </c>
      <c r="F64" s="3">
        <v>9.9675623991061002E-2</v>
      </c>
    </row>
    <row r="65" spans="1:6">
      <c r="A65" s="3" t="s">
        <v>3</v>
      </c>
      <c r="B65" s="3" t="s">
        <v>5</v>
      </c>
      <c r="C65" s="3">
        <v>100</v>
      </c>
      <c r="D65" s="3" t="s">
        <v>9</v>
      </c>
      <c r="E65" s="3">
        <v>1</v>
      </c>
      <c r="F65" s="3">
        <v>0.233024624991231</v>
      </c>
    </row>
    <row r="66" spans="1:6">
      <c r="A66" s="3" t="s">
        <v>3</v>
      </c>
      <c r="B66" s="3" t="s">
        <v>4</v>
      </c>
      <c r="C66" s="3">
        <v>150</v>
      </c>
      <c r="D66" s="3" t="s">
        <v>8</v>
      </c>
      <c r="E66" s="3">
        <v>1</v>
      </c>
      <c r="F66" s="3">
        <v>0.14588699996238599</v>
      </c>
    </row>
    <row r="67" spans="1:6">
      <c r="A67" s="3" t="s">
        <v>3</v>
      </c>
      <c r="B67" s="3" t="s">
        <v>4</v>
      </c>
      <c r="C67" s="3">
        <v>100</v>
      </c>
      <c r="D67" s="3" t="s">
        <v>8</v>
      </c>
      <c r="E67" s="3">
        <v>1</v>
      </c>
      <c r="F67" s="3">
        <v>0.36807237501488999</v>
      </c>
    </row>
    <row r="68" spans="1:6">
      <c r="A68" s="3" t="s">
        <v>3</v>
      </c>
      <c r="B68" s="3" t="s">
        <v>5</v>
      </c>
      <c r="C68" s="3">
        <v>100</v>
      </c>
      <c r="D68" s="3" t="s">
        <v>9</v>
      </c>
      <c r="E68" s="3">
        <v>1</v>
      </c>
      <c r="F68" s="3">
        <v>0.147297082992736</v>
      </c>
    </row>
    <row r="69" spans="1:6">
      <c r="A69" s="3" t="s">
        <v>3</v>
      </c>
      <c r="B69" s="3" t="s">
        <v>4</v>
      </c>
      <c r="C69" s="3">
        <v>100</v>
      </c>
      <c r="D69" s="3" t="s">
        <v>8</v>
      </c>
      <c r="E69" s="3">
        <v>1</v>
      </c>
      <c r="F69" s="3">
        <v>0.25037591601721898</v>
      </c>
    </row>
    <row r="70" spans="1:6">
      <c r="A70" s="3" t="s">
        <v>3</v>
      </c>
      <c r="B70" s="3" t="s">
        <v>5</v>
      </c>
      <c r="C70" s="3">
        <v>150</v>
      </c>
      <c r="D70" s="3" t="s">
        <v>9</v>
      </c>
      <c r="E70" s="3">
        <v>1</v>
      </c>
      <c r="F70" s="3">
        <v>0.174817790975794</v>
      </c>
    </row>
    <row r="71" spans="1:6">
      <c r="A71" s="3" t="s">
        <v>3</v>
      </c>
      <c r="B71" s="3" t="s">
        <v>5</v>
      </c>
      <c r="C71" s="3">
        <v>50</v>
      </c>
      <c r="D71" s="3" t="s">
        <v>9</v>
      </c>
      <c r="E71" s="3">
        <v>1</v>
      </c>
      <c r="F71" s="3">
        <v>0.34167704096762502</v>
      </c>
    </row>
    <row r="72" spans="1:6">
      <c r="A72" s="3" t="s">
        <v>3</v>
      </c>
      <c r="B72" s="3" t="s">
        <v>5</v>
      </c>
      <c r="C72" s="3">
        <v>100</v>
      </c>
      <c r="D72" s="3" t="s">
        <v>9</v>
      </c>
      <c r="E72" s="3">
        <v>1</v>
      </c>
      <c r="F72" s="3">
        <v>0.40083112503634799</v>
      </c>
    </row>
    <row r="73" spans="1:6">
      <c r="A73" s="3" t="s">
        <v>3</v>
      </c>
      <c r="B73" s="3" t="s">
        <v>5</v>
      </c>
      <c r="C73" s="3">
        <v>100</v>
      </c>
      <c r="D73" s="3" t="s">
        <v>9</v>
      </c>
      <c r="E73" s="3">
        <v>1</v>
      </c>
      <c r="F73" s="3">
        <v>0.32125987403560402</v>
      </c>
    </row>
    <row r="74" spans="1:6">
      <c r="A74" s="3" t="s">
        <v>3</v>
      </c>
      <c r="B74" s="3" t="s">
        <v>4</v>
      </c>
      <c r="C74" s="3">
        <v>100</v>
      </c>
      <c r="D74" s="3" t="s">
        <v>8</v>
      </c>
      <c r="E74" s="3">
        <v>1</v>
      </c>
      <c r="F74" s="3">
        <v>0.25568987498991202</v>
      </c>
    </row>
    <row r="75" spans="1:6">
      <c r="A75" s="3" t="s">
        <v>3</v>
      </c>
      <c r="B75" s="3" t="s">
        <v>4</v>
      </c>
      <c r="C75" s="3">
        <v>100</v>
      </c>
      <c r="D75" s="3" t="s">
        <v>8</v>
      </c>
      <c r="E75" s="3">
        <v>1</v>
      </c>
      <c r="F75" s="3">
        <v>0.42780950001906598</v>
      </c>
    </row>
    <row r="76" spans="1:6">
      <c r="A76" s="3" t="s">
        <v>3</v>
      </c>
      <c r="B76" s="3" t="s">
        <v>4</v>
      </c>
      <c r="C76" s="3">
        <v>50</v>
      </c>
      <c r="D76" s="3" t="s">
        <v>8</v>
      </c>
      <c r="E76" s="3">
        <v>1</v>
      </c>
      <c r="F76" s="3">
        <v>0.332326333038509</v>
      </c>
    </row>
    <row r="77" spans="1:6">
      <c r="A77" s="3" t="s">
        <v>3</v>
      </c>
      <c r="B77" s="3" t="s">
        <v>4</v>
      </c>
      <c r="C77" s="3">
        <v>150</v>
      </c>
      <c r="D77" s="3" t="s">
        <v>8</v>
      </c>
      <c r="E77" s="3">
        <v>1</v>
      </c>
      <c r="F77" s="3">
        <v>8.2061416003853097E-2</v>
      </c>
    </row>
    <row r="78" spans="1:6">
      <c r="A78" s="3" t="s">
        <v>3</v>
      </c>
      <c r="B78" s="3" t="s">
        <v>4</v>
      </c>
      <c r="C78" s="3">
        <v>100</v>
      </c>
      <c r="D78" s="3" t="s">
        <v>8</v>
      </c>
      <c r="E78" s="3">
        <v>1</v>
      </c>
      <c r="F78" s="3">
        <v>0.133334166021086</v>
      </c>
    </row>
    <row r="79" spans="1:6">
      <c r="A79" s="3" t="s">
        <v>3</v>
      </c>
      <c r="B79" s="3" t="s">
        <v>4</v>
      </c>
      <c r="C79" s="3">
        <v>150</v>
      </c>
      <c r="D79" s="3" t="s">
        <v>8</v>
      </c>
      <c r="E79" s="3">
        <v>1</v>
      </c>
      <c r="F79" s="3">
        <v>6.7875332955736695E-2</v>
      </c>
    </row>
    <row r="80" spans="1:6">
      <c r="A80" s="3" t="s">
        <v>3</v>
      </c>
      <c r="B80" s="3" t="s">
        <v>5</v>
      </c>
      <c r="C80" s="3">
        <v>150</v>
      </c>
      <c r="D80" s="3" t="s">
        <v>9</v>
      </c>
      <c r="E80" s="3">
        <v>1</v>
      </c>
      <c r="F80" s="3">
        <v>0.10284716595197101</v>
      </c>
    </row>
    <row r="81" spans="1:6">
      <c r="A81" s="3" t="s">
        <v>3</v>
      </c>
      <c r="B81" s="3" t="s">
        <v>4</v>
      </c>
      <c r="C81" s="3">
        <v>50</v>
      </c>
      <c r="D81" s="3" t="s">
        <v>8</v>
      </c>
      <c r="E81" s="3">
        <v>1</v>
      </c>
      <c r="F81" s="3">
        <v>0.114127875014674</v>
      </c>
    </row>
    <row r="82" spans="1:6">
      <c r="A82" s="3" t="s">
        <v>3</v>
      </c>
      <c r="B82" s="3" t="s">
        <v>5</v>
      </c>
      <c r="C82" s="3">
        <v>150</v>
      </c>
      <c r="D82" s="3" t="s">
        <v>9</v>
      </c>
      <c r="E82" s="3">
        <v>1</v>
      </c>
      <c r="F82" s="3">
        <v>1.9883625034708498E-2</v>
      </c>
    </row>
    <row r="83" spans="1:6">
      <c r="A83" s="3" t="s">
        <v>3</v>
      </c>
      <c r="B83" s="3" t="s">
        <v>5</v>
      </c>
      <c r="C83" s="3">
        <v>150</v>
      </c>
      <c r="D83" s="3" t="s">
        <v>9</v>
      </c>
      <c r="E83" s="3">
        <v>1</v>
      </c>
      <c r="F83" s="3">
        <v>0.434831332997419</v>
      </c>
    </row>
    <row r="84" spans="1:6">
      <c r="A84" s="3" t="s">
        <v>3</v>
      </c>
      <c r="B84" s="3" t="s">
        <v>4</v>
      </c>
      <c r="C84" s="3">
        <v>150</v>
      </c>
      <c r="D84" s="3" t="s">
        <v>8</v>
      </c>
      <c r="E84" s="3">
        <v>1</v>
      </c>
      <c r="F84" s="3">
        <v>9.9254040978848906E-2</v>
      </c>
    </row>
    <row r="85" spans="1:6">
      <c r="A85" s="3" t="s">
        <v>3</v>
      </c>
      <c r="B85" s="3" t="s">
        <v>5</v>
      </c>
      <c r="C85" s="3">
        <v>100</v>
      </c>
      <c r="D85" s="3" t="s">
        <v>9</v>
      </c>
      <c r="E85" s="3">
        <v>1</v>
      </c>
      <c r="F85" s="3">
        <v>0.141408082970884</v>
      </c>
    </row>
    <row r="86" spans="1:6">
      <c r="A86" s="3" t="s">
        <v>3</v>
      </c>
      <c r="B86" s="3" t="s">
        <v>5</v>
      </c>
      <c r="C86" s="3">
        <v>50</v>
      </c>
      <c r="D86" s="3" t="s">
        <v>8</v>
      </c>
      <c r="E86" s="3">
        <v>1</v>
      </c>
      <c r="F86" s="3">
        <v>8.7233000027481494E-2</v>
      </c>
    </row>
    <row r="87" spans="1:6">
      <c r="A87" s="3" t="s">
        <v>3</v>
      </c>
      <c r="B87" s="3" t="s">
        <v>5</v>
      </c>
      <c r="C87" s="3">
        <v>50</v>
      </c>
      <c r="D87" s="3" t="s">
        <v>9</v>
      </c>
      <c r="E87" s="3">
        <v>1</v>
      </c>
      <c r="F87" s="3">
        <v>0.39754166599595903</v>
      </c>
    </row>
    <row r="88" spans="1:6">
      <c r="A88" s="3" t="s">
        <v>3</v>
      </c>
      <c r="B88" s="3" t="s">
        <v>5</v>
      </c>
      <c r="C88" s="3">
        <v>100</v>
      </c>
      <c r="D88" s="3" t="s">
        <v>9</v>
      </c>
      <c r="E88" s="3">
        <v>1</v>
      </c>
      <c r="F88" s="3">
        <v>0.173830124025699</v>
      </c>
    </row>
    <row r="89" spans="1:6">
      <c r="A89" s="3" t="s">
        <v>3</v>
      </c>
      <c r="B89" s="3" t="s">
        <v>5</v>
      </c>
      <c r="C89" s="3">
        <v>50</v>
      </c>
      <c r="D89" s="3" t="s">
        <v>9</v>
      </c>
      <c r="E89" s="3">
        <v>1</v>
      </c>
      <c r="F89" s="3">
        <v>0.21611575002316399</v>
      </c>
    </row>
    <row r="90" spans="1:6">
      <c r="A90" s="3" t="s">
        <v>3</v>
      </c>
      <c r="B90" s="3" t="s">
        <v>5</v>
      </c>
      <c r="C90" s="3">
        <v>150</v>
      </c>
      <c r="D90" s="3" t="s">
        <v>9</v>
      </c>
      <c r="E90" s="3">
        <v>1</v>
      </c>
      <c r="F90" s="3">
        <v>5.6829583016224199E-2</v>
      </c>
    </row>
    <row r="91" spans="1:6">
      <c r="A91" s="3" t="s">
        <v>3</v>
      </c>
      <c r="B91" s="3" t="s">
        <v>5</v>
      </c>
      <c r="C91" s="3">
        <v>100</v>
      </c>
      <c r="D91" s="3" t="s">
        <v>9</v>
      </c>
      <c r="E91" s="3">
        <v>1</v>
      </c>
      <c r="F91" s="3">
        <v>4.4113915995694697E-2</v>
      </c>
    </row>
    <row r="92" spans="1:6">
      <c r="A92" s="3" t="s">
        <v>3</v>
      </c>
      <c r="B92" s="3" t="s">
        <v>5</v>
      </c>
      <c r="C92" s="3">
        <v>150</v>
      </c>
      <c r="D92" s="3" t="s">
        <v>8</v>
      </c>
      <c r="E92" s="3">
        <v>1</v>
      </c>
      <c r="F92" s="3">
        <v>0.11603424896020401</v>
      </c>
    </row>
    <row r="93" spans="1:6">
      <c r="A93" s="3" t="s">
        <v>3</v>
      </c>
      <c r="B93" s="3" t="s">
        <v>4</v>
      </c>
      <c r="C93" s="3">
        <v>50</v>
      </c>
      <c r="D93" s="3" t="s">
        <v>8</v>
      </c>
      <c r="E93" s="3">
        <v>1</v>
      </c>
      <c r="F93" s="3">
        <v>0.61842145799892001</v>
      </c>
    </row>
    <row r="94" spans="1:6">
      <c r="A94" s="3" t="s">
        <v>3</v>
      </c>
      <c r="B94" s="3" t="s">
        <v>4</v>
      </c>
      <c r="C94" s="3">
        <v>50</v>
      </c>
      <c r="D94" s="3" t="s">
        <v>8</v>
      </c>
      <c r="E94" s="3">
        <v>1</v>
      </c>
      <c r="F94" s="3">
        <v>0.21166516595985699</v>
      </c>
    </row>
    <row r="95" spans="1:6">
      <c r="A95" s="3" t="s">
        <v>3</v>
      </c>
      <c r="B95" s="3" t="s">
        <v>4</v>
      </c>
      <c r="C95" s="3">
        <v>50</v>
      </c>
      <c r="D95" s="3" t="s">
        <v>8</v>
      </c>
      <c r="E95" s="3">
        <v>1</v>
      </c>
      <c r="F95" s="3">
        <v>0.27108291699551001</v>
      </c>
    </row>
    <row r="96" spans="1:6">
      <c r="A96" s="3" t="s">
        <v>3</v>
      </c>
      <c r="B96" s="3" t="s">
        <v>5</v>
      </c>
      <c r="C96" s="3">
        <v>100</v>
      </c>
      <c r="D96" s="3" t="s">
        <v>9</v>
      </c>
      <c r="E96" s="3">
        <v>1</v>
      </c>
      <c r="F96" s="3">
        <v>0.17383333301404499</v>
      </c>
    </row>
    <row r="97" spans="1:6">
      <c r="A97" s="3" t="s">
        <v>3</v>
      </c>
      <c r="B97" s="3" t="s">
        <v>4</v>
      </c>
      <c r="C97" s="3">
        <v>50</v>
      </c>
      <c r="D97" s="3" t="s">
        <v>8</v>
      </c>
      <c r="E97" s="3">
        <v>1</v>
      </c>
      <c r="F97" s="3">
        <v>0.19094091601436999</v>
      </c>
    </row>
    <row r="98" spans="1:6">
      <c r="A98" s="3" t="s">
        <v>3</v>
      </c>
      <c r="B98" s="3" t="s">
        <v>5</v>
      </c>
      <c r="C98" s="3">
        <v>150</v>
      </c>
      <c r="D98" s="3" t="s">
        <v>9</v>
      </c>
      <c r="E98" s="3">
        <v>1</v>
      </c>
      <c r="F98" s="3">
        <v>0.13011262501822801</v>
      </c>
    </row>
  </sheetData>
  <sortState xmlns:xlrd2="http://schemas.microsoft.com/office/spreadsheetml/2017/richdata2" ref="A3:A98">
    <sortCondition ref="A3:A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506A-9B97-3246-8343-7346DAF733D9}">
  <dimension ref="A1:Q98"/>
  <sheetViews>
    <sheetView workbookViewId="0">
      <selection activeCell="P6" sqref="P6:Q6"/>
    </sheetView>
  </sheetViews>
  <sheetFormatPr baseColWidth="10" defaultRowHeight="16"/>
  <sheetData>
    <row r="1" spans="1:17">
      <c r="A1" s="1" t="s">
        <v>0</v>
      </c>
      <c r="B1" s="1" t="s">
        <v>1</v>
      </c>
      <c r="C1" s="1" t="s">
        <v>2</v>
      </c>
      <c r="D1" s="1" t="s">
        <v>7</v>
      </c>
      <c r="E1" s="1" t="s">
        <v>10</v>
      </c>
      <c r="F1" s="1" t="s">
        <v>11</v>
      </c>
    </row>
    <row r="2" spans="1:17">
      <c r="A2" s="2"/>
      <c r="B2" s="2"/>
      <c r="C2" s="2"/>
      <c r="D2" s="2"/>
      <c r="E2" s="2"/>
      <c r="F2" s="2"/>
      <c r="I2" s="1" t="s">
        <v>0</v>
      </c>
      <c r="J2" s="1" t="s">
        <v>11</v>
      </c>
      <c r="L2" s="1" t="s">
        <v>0</v>
      </c>
      <c r="M2" s="1" t="s">
        <v>11</v>
      </c>
    </row>
    <row r="3" spans="1:17">
      <c r="A3" s="3" t="s">
        <v>6</v>
      </c>
      <c r="B3" s="3" t="s">
        <v>4</v>
      </c>
      <c r="C3" s="3">
        <v>150</v>
      </c>
      <c r="D3" s="3" t="s">
        <v>8</v>
      </c>
      <c r="E3" s="3">
        <v>1</v>
      </c>
      <c r="F3" s="3">
        <v>0.14167550002457599</v>
      </c>
    </row>
    <row r="4" spans="1:17">
      <c r="A4" s="3" t="s">
        <v>6</v>
      </c>
      <c r="B4" s="3" t="s">
        <v>4</v>
      </c>
      <c r="C4" s="3">
        <v>150</v>
      </c>
      <c r="D4" s="3" t="s">
        <v>8</v>
      </c>
      <c r="E4" s="3">
        <v>1</v>
      </c>
      <c r="F4" s="3">
        <v>9.4705873983912198E-2</v>
      </c>
      <c r="I4" s="3" t="s">
        <v>6</v>
      </c>
      <c r="J4" s="3">
        <v>0.14167550002457599</v>
      </c>
      <c r="L4" s="3" t="s">
        <v>3</v>
      </c>
      <c r="M4" s="3">
        <v>8.2622707006521495E-2</v>
      </c>
    </row>
    <row r="5" spans="1:17">
      <c r="A5" s="3" t="s">
        <v>6</v>
      </c>
      <c r="B5" s="3" t="s">
        <v>4</v>
      </c>
      <c r="C5" s="3">
        <v>50</v>
      </c>
      <c r="D5" s="3" t="s">
        <v>8</v>
      </c>
      <c r="E5" s="3">
        <v>1</v>
      </c>
      <c r="F5" s="3">
        <v>0.16501008300110701</v>
      </c>
      <c r="I5" s="3" t="s">
        <v>6</v>
      </c>
      <c r="J5" s="3">
        <v>9.4705873983912198E-2</v>
      </c>
      <c r="L5" s="3" t="s">
        <v>3</v>
      </c>
      <c r="M5" s="3">
        <v>4.2080957966390997E-2</v>
      </c>
      <c r="P5" t="s">
        <v>3</v>
      </c>
      <c r="Q5" t="s">
        <v>6</v>
      </c>
    </row>
    <row r="6" spans="1:17">
      <c r="A6" s="3" t="s">
        <v>6</v>
      </c>
      <c r="B6" s="3" t="s">
        <v>4</v>
      </c>
      <c r="C6" s="3">
        <v>100</v>
      </c>
      <c r="D6" s="3" t="s">
        <v>8</v>
      </c>
      <c r="E6" s="3">
        <v>1</v>
      </c>
      <c r="F6" s="3">
        <v>9.7027749987319098E-2</v>
      </c>
      <c r="I6" s="3" t="s">
        <v>6</v>
      </c>
      <c r="J6" s="3">
        <v>0.16501008300110701</v>
      </c>
      <c r="L6" s="3" t="s">
        <v>3</v>
      </c>
      <c r="M6" s="3">
        <v>5.1642791018821299E-2</v>
      </c>
      <c r="O6" t="s">
        <v>29</v>
      </c>
      <c r="P6">
        <f>AVERAGE(E3:E50)*100</f>
        <v>100</v>
      </c>
      <c r="Q6">
        <f>AVERAGE(E51:E98)*100</f>
        <v>95.833333333333343</v>
      </c>
    </row>
    <row r="7" spans="1:17">
      <c r="A7" s="3" t="s">
        <v>6</v>
      </c>
      <c r="B7" s="3" t="s">
        <v>4</v>
      </c>
      <c r="C7" s="3">
        <v>50</v>
      </c>
      <c r="D7" s="3" t="s">
        <v>8</v>
      </c>
      <c r="E7" s="3">
        <v>1</v>
      </c>
      <c r="F7" s="3">
        <v>0.13112479099072499</v>
      </c>
      <c r="I7" s="3" t="s">
        <v>6</v>
      </c>
      <c r="J7" s="3">
        <v>9.7027749987319098E-2</v>
      </c>
      <c r="L7" s="3" t="s">
        <v>3</v>
      </c>
      <c r="M7" s="3">
        <v>4.6638458035886302E-2</v>
      </c>
    </row>
    <row r="8" spans="1:17">
      <c r="A8" s="3" t="s">
        <v>6</v>
      </c>
      <c r="B8" s="3" t="s">
        <v>4</v>
      </c>
      <c r="C8" s="3">
        <v>100</v>
      </c>
      <c r="D8" s="3" t="s">
        <v>8</v>
      </c>
      <c r="E8" s="3">
        <v>1</v>
      </c>
      <c r="F8" s="3">
        <v>0.12342633295338599</v>
      </c>
      <c r="I8" s="3" t="s">
        <v>6</v>
      </c>
      <c r="J8" s="3">
        <v>0.13112479099072499</v>
      </c>
      <c r="L8" s="3" t="s">
        <v>3</v>
      </c>
      <c r="M8" s="3">
        <v>0.13761566596804201</v>
      </c>
    </row>
    <row r="9" spans="1:17">
      <c r="A9" s="3" t="s">
        <v>6</v>
      </c>
      <c r="B9" s="3" t="s">
        <v>4</v>
      </c>
      <c r="C9" s="3">
        <v>50</v>
      </c>
      <c r="D9" s="3" t="s">
        <v>8</v>
      </c>
      <c r="E9" s="3">
        <v>1</v>
      </c>
      <c r="F9" s="3">
        <v>9.5856581989210099E-2</v>
      </c>
      <c r="I9" s="3" t="s">
        <v>6</v>
      </c>
      <c r="J9" s="3">
        <v>0.12342633295338599</v>
      </c>
      <c r="L9" s="3" t="s">
        <v>3</v>
      </c>
      <c r="M9" s="3">
        <v>2.7109457994811199E-2</v>
      </c>
    </row>
    <row r="10" spans="1:17">
      <c r="A10" s="3" t="s">
        <v>6</v>
      </c>
      <c r="B10" s="3" t="s">
        <v>4</v>
      </c>
      <c r="C10" s="3">
        <v>100</v>
      </c>
      <c r="D10" s="3" t="s">
        <v>8</v>
      </c>
      <c r="E10" s="3">
        <v>1</v>
      </c>
      <c r="F10" s="3">
        <v>3.1209990265779202E-3</v>
      </c>
      <c r="I10" s="3" t="s">
        <v>6</v>
      </c>
      <c r="J10" s="3">
        <v>9.5856581989210099E-2</v>
      </c>
      <c r="L10" s="3" t="s">
        <v>3</v>
      </c>
      <c r="M10" s="3">
        <v>8.27803330030292E-2</v>
      </c>
    </row>
    <row r="11" spans="1:17">
      <c r="A11" s="3" t="s">
        <v>6</v>
      </c>
      <c r="B11" s="3" t="s">
        <v>4</v>
      </c>
      <c r="C11" s="3">
        <v>100</v>
      </c>
      <c r="D11" s="3" t="s">
        <v>8</v>
      </c>
      <c r="E11" s="3">
        <v>1</v>
      </c>
      <c r="F11" s="3">
        <v>0.54762412403942995</v>
      </c>
      <c r="I11" s="3" t="s">
        <v>6</v>
      </c>
      <c r="J11" s="3">
        <v>3.1209990265779202E-3</v>
      </c>
      <c r="L11" s="3" t="s">
        <v>3</v>
      </c>
      <c r="M11" s="3">
        <v>0.444042040966451</v>
      </c>
    </row>
    <row r="12" spans="1:17">
      <c r="A12" s="3" t="s">
        <v>6</v>
      </c>
      <c r="B12" s="3" t="s">
        <v>4</v>
      </c>
      <c r="C12" s="3">
        <v>50</v>
      </c>
      <c r="D12" s="3" t="s">
        <v>8</v>
      </c>
      <c r="E12" s="3">
        <v>1</v>
      </c>
      <c r="F12" s="3">
        <v>0.127198832982685</v>
      </c>
      <c r="I12" s="3" t="s">
        <v>6</v>
      </c>
      <c r="J12" s="3">
        <v>0.54762412403942995</v>
      </c>
      <c r="L12" s="3" t="s">
        <v>3</v>
      </c>
      <c r="M12" s="3">
        <v>0.21293016598792699</v>
      </c>
    </row>
    <row r="13" spans="1:17">
      <c r="A13" s="3" t="s">
        <v>6</v>
      </c>
      <c r="B13" s="3" t="s">
        <v>4</v>
      </c>
      <c r="C13" s="3">
        <v>50</v>
      </c>
      <c r="D13" s="3" t="s">
        <v>8</v>
      </c>
      <c r="E13" s="3">
        <v>1</v>
      </c>
      <c r="F13" s="3">
        <v>8.1060833006631597E-2</v>
      </c>
      <c r="I13" s="3" t="s">
        <v>6</v>
      </c>
      <c r="J13" s="3">
        <v>0.127198832982685</v>
      </c>
      <c r="L13" s="3" t="s">
        <v>3</v>
      </c>
      <c r="M13" s="3">
        <v>8.2908248994499403E-2</v>
      </c>
    </row>
    <row r="14" spans="1:17">
      <c r="A14" s="3" t="s">
        <v>6</v>
      </c>
      <c r="B14" s="3" t="s">
        <v>4</v>
      </c>
      <c r="C14" s="3">
        <v>150</v>
      </c>
      <c r="D14" s="3" t="s">
        <v>8</v>
      </c>
      <c r="E14" s="3">
        <v>1</v>
      </c>
      <c r="F14" s="3">
        <v>0.49627016601152701</v>
      </c>
      <c r="I14" s="3" t="s">
        <v>6</v>
      </c>
      <c r="J14" s="3">
        <v>8.1060833006631597E-2</v>
      </c>
      <c r="L14" s="3" t="s">
        <v>3</v>
      </c>
      <c r="M14" s="3">
        <v>0.170809373958036</v>
      </c>
    </row>
    <row r="15" spans="1:17">
      <c r="A15" s="3" t="s">
        <v>6</v>
      </c>
      <c r="B15" s="3" t="s">
        <v>5</v>
      </c>
      <c r="C15" s="3">
        <v>50</v>
      </c>
      <c r="D15" s="3" t="s">
        <v>9</v>
      </c>
      <c r="E15" s="3">
        <v>1</v>
      </c>
      <c r="F15" s="3">
        <v>0.29458241601241802</v>
      </c>
      <c r="I15" s="3" t="s">
        <v>6</v>
      </c>
      <c r="J15" s="3">
        <v>0.49627016601152701</v>
      </c>
      <c r="L15" s="3" t="s">
        <v>3</v>
      </c>
      <c r="M15" s="3">
        <v>0.16695895697921501</v>
      </c>
    </row>
    <row r="16" spans="1:17">
      <c r="A16" s="3" t="s">
        <v>6</v>
      </c>
      <c r="B16" s="3" t="s">
        <v>5</v>
      </c>
      <c r="C16" s="3">
        <v>50</v>
      </c>
      <c r="D16" s="3" t="s">
        <v>9</v>
      </c>
      <c r="E16" s="3">
        <v>1</v>
      </c>
      <c r="F16" s="3">
        <v>0.21689258201513401</v>
      </c>
      <c r="I16" s="3" t="s">
        <v>6</v>
      </c>
      <c r="J16" s="3">
        <v>0.29458241601241802</v>
      </c>
      <c r="L16" s="3" t="s">
        <v>3</v>
      </c>
      <c r="M16" s="3">
        <v>9.9750291032250998E-2</v>
      </c>
    </row>
    <row r="17" spans="1:13">
      <c r="A17" s="3" t="s">
        <v>6</v>
      </c>
      <c r="B17" s="3" t="s">
        <v>5</v>
      </c>
      <c r="C17" s="3">
        <v>100</v>
      </c>
      <c r="D17" s="3" t="s">
        <v>9</v>
      </c>
      <c r="E17" s="3">
        <v>1</v>
      </c>
      <c r="F17" s="3">
        <v>0.127809958008584</v>
      </c>
      <c r="I17" s="3" t="s">
        <v>6</v>
      </c>
      <c r="J17" s="3">
        <v>0.21689258201513401</v>
      </c>
      <c r="L17" s="3" t="s">
        <v>3</v>
      </c>
      <c r="M17" s="3">
        <v>5.2795290946960498E-2</v>
      </c>
    </row>
    <row r="18" spans="1:13">
      <c r="A18" s="3" t="s">
        <v>6</v>
      </c>
      <c r="B18" s="3" t="s">
        <v>4</v>
      </c>
      <c r="C18" s="3">
        <v>150</v>
      </c>
      <c r="D18" s="3" t="s">
        <v>8</v>
      </c>
      <c r="E18" s="3">
        <v>1</v>
      </c>
      <c r="F18" s="3">
        <v>9.4410331977997003E-2</v>
      </c>
      <c r="I18" s="3" t="s">
        <v>6</v>
      </c>
      <c r="J18" s="3">
        <v>0.127809958008584</v>
      </c>
      <c r="L18" s="3" t="s">
        <v>3</v>
      </c>
      <c r="M18" s="3">
        <v>0.26393095700768798</v>
      </c>
    </row>
    <row r="19" spans="1:13">
      <c r="A19" s="3" t="s">
        <v>6</v>
      </c>
      <c r="B19" s="3" t="s">
        <v>4</v>
      </c>
      <c r="C19" s="3">
        <v>100</v>
      </c>
      <c r="D19" s="3" t="s">
        <v>8</v>
      </c>
      <c r="E19" s="3">
        <v>1</v>
      </c>
      <c r="F19" s="3">
        <v>7.5703957001678701E-2</v>
      </c>
      <c r="I19" s="3" t="s">
        <v>6</v>
      </c>
      <c r="J19" s="3">
        <v>9.4410331977997003E-2</v>
      </c>
      <c r="L19" s="3" t="s">
        <v>3</v>
      </c>
      <c r="M19" s="3">
        <v>0.169824166048784</v>
      </c>
    </row>
    <row r="20" spans="1:13">
      <c r="A20" s="3" t="s">
        <v>6</v>
      </c>
      <c r="B20" s="3" t="s">
        <v>5</v>
      </c>
      <c r="C20" s="3">
        <v>150</v>
      </c>
      <c r="D20" s="3" t="s">
        <v>9</v>
      </c>
      <c r="E20" s="3">
        <v>1</v>
      </c>
      <c r="F20" s="3">
        <v>0.133384207962081</v>
      </c>
      <c r="I20" s="3" t="s">
        <v>6</v>
      </c>
      <c r="J20" s="3">
        <v>7.5703957001678701E-2</v>
      </c>
      <c r="L20" s="3" t="s">
        <v>3</v>
      </c>
      <c r="M20" s="3">
        <v>0.16254741599550501</v>
      </c>
    </row>
    <row r="21" spans="1:13">
      <c r="A21" s="3" t="s">
        <v>6</v>
      </c>
      <c r="B21" s="3" t="s">
        <v>4</v>
      </c>
      <c r="C21" s="3">
        <v>150</v>
      </c>
      <c r="D21" s="3" t="s">
        <v>8</v>
      </c>
      <c r="E21" s="3">
        <v>1</v>
      </c>
      <c r="F21" s="3">
        <v>9.0347665944136707E-2</v>
      </c>
      <c r="I21" s="3" t="s">
        <v>6</v>
      </c>
      <c r="J21" s="3">
        <v>0.133384207962081</v>
      </c>
      <c r="L21" s="3" t="s">
        <v>3</v>
      </c>
      <c r="M21" s="3">
        <v>7.9049082996789394E-2</v>
      </c>
    </row>
    <row r="22" spans="1:13">
      <c r="A22" s="3" t="s">
        <v>6</v>
      </c>
      <c r="B22" s="3" t="s">
        <v>5</v>
      </c>
      <c r="C22" s="3">
        <v>50</v>
      </c>
      <c r="D22" s="3" t="s">
        <v>9</v>
      </c>
      <c r="E22" s="3">
        <v>1</v>
      </c>
      <c r="F22" s="3">
        <v>0.141975457023364</v>
      </c>
      <c r="I22" s="3" t="s">
        <v>6</v>
      </c>
      <c r="J22" s="3">
        <v>9.0347665944136707E-2</v>
      </c>
      <c r="L22" s="3" t="s">
        <v>3</v>
      </c>
      <c r="M22" s="3">
        <v>0.166562041034922</v>
      </c>
    </row>
    <row r="23" spans="1:13">
      <c r="A23" s="3" t="s">
        <v>6</v>
      </c>
      <c r="B23" s="3" t="s">
        <v>5</v>
      </c>
      <c r="C23" s="3">
        <v>150</v>
      </c>
      <c r="D23" s="3" t="s">
        <v>9</v>
      </c>
      <c r="E23" s="3">
        <v>1</v>
      </c>
      <c r="F23" s="3">
        <v>8.68512079468928E-2</v>
      </c>
      <c r="I23" s="3" t="s">
        <v>6</v>
      </c>
      <c r="J23" s="3">
        <v>0.141975457023364</v>
      </c>
      <c r="L23" s="3" t="s">
        <v>3</v>
      </c>
      <c r="M23" s="3">
        <v>0.123596625053324</v>
      </c>
    </row>
    <row r="24" spans="1:13">
      <c r="A24" s="3" t="s">
        <v>6</v>
      </c>
      <c r="B24" s="3" t="s">
        <v>4</v>
      </c>
      <c r="C24" s="3">
        <v>150</v>
      </c>
      <c r="D24" s="3" t="s">
        <v>8</v>
      </c>
      <c r="E24" s="3">
        <v>1</v>
      </c>
      <c r="F24" s="3">
        <v>6.2673665990587296E-2</v>
      </c>
      <c r="I24" s="3" t="s">
        <v>6</v>
      </c>
      <c r="J24" s="3">
        <v>8.68512079468928E-2</v>
      </c>
      <c r="L24" s="3" t="s">
        <v>3</v>
      </c>
      <c r="M24" s="3">
        <v>9.0362332994118305E-2</v>
      </c>
    </row>
    <row r="25" spans="1:13">
      <c r="A25" s="3" t="s">
        <v>6</v>
      </c>
      <c r="B25" s="3" t="s">
        <v>5</v>
      </c>
      <c r="C25" s="3">
        <v>50</v>
      </c>
      <c r="D25" s="3" t="s">
        <v>9</v>
      </c>
      <c r="E25" s="3">
        <v>1</v>
      </c>
      <c r="F25" s="3">
        <v>0.10768566600745499</v>
      </c>
      <c r="I25" s="3" t="s">
        <v>6</v>
      </c>
      <c r="J25" s="3">
        <v>6.2673665990587296E-2</v>
      </c>
      <c r="L25" s="3" t="s">
        <v>3</v>
      </c>
      <c r="M25" s="3">
        <v>0.13234370702411999</v>
      </c>
    </row>
    <row r="26" spans="1:13">
      <c r="A26" s="3" t="s">
        <v>6</v>
      </c>
      <c r="B26" s="3" t="s">
        <v>5</v>
      </c>
      <c r="C26" s="3">
        <v>150</v>
      </c>
      <c r="D26" s="3" t="s">
        <v>9</v>
      </c>
      <c r="E26" s="3">
        <v>1</v>
      </c>
      <c r="F26" s="3">
        <v>6.7521457036491497E-2</v>
      </c>
      <c r="I26" s="3" t="s">
        <v>6</v>
      </c>
      <c r="J26" s="3">
        <v>0.10768566600745499</v>
      </c>
      <c r="L26" s="3" t="s">
        <v>3</v>
      </c>
      <c r="M26" s="3">
        <v>9.0724332025274607E-2</v>
      </c>
    </row>
    <row r="27" spans="1:13">
      <c r="A27" s="3" t="s">
        <v>6</v>
      </c>
      <c r="B27" s="3" t="s">
        <v>4</v>
      </c>
      <c r="C27" s="3">
        <v>150</v>
      </c>
      <c r="D27" s="3" t="s">
        <v>8</v>
      </c>
      <c r="E27" s="3">
        <v>1</v>
      </c>
      <c r="F27" s="3">
        <v>7.8571791003923905E-2</v>
      </c>
      <c r="I27" s="3" t="s">
        <v>6</v>
      </c>
      <c r="J27" s="3">
        <v>6.7521457036491497E-2</v>
      </c>
      <c r="L27" s="3" t="s">
        <v>3</v>
      </c>
      <c r="M27" s="3">
        <v>0.16203387401765201</v>
      </c>
    </row>
    <row r="28" spans="1:13">
      <c r="A28" s="3" t="s">
        <v>6</v>
      </c>
      <c r="B28" s="3" t="s">
        <v>5</v>
      </c>
      <c r="C28" s="3">
        <v>100</v>
      </c>
      <c r="D28" s="3" t="s">
        <v>9</v>
      </c>
      <c r="E28" s="3">
        <v>1</v>
      </c>
      <c r="F28" s="3">
        <v>7.6477291004266604E-2</v>
      </c>
      <c r="I28" s="3" t="s">
        <v>6</v>
      </c>
      <c r="J28" s="3">
        <v>7.8571791003923905E-2</v>
      </c>
      <c r="L28" s="3" t="s">
        <v>3</v>
      </c>
      <c r="M28" s="3">
        <v>0.152955749013927</v>
      </c>
    </row>
    <row r="29" spans="1:13">
      <c r="A29" s="3" t="s">
        <v>6</v>
      </c>
      <c r="B29" s="3" t="s">
        <v>5</v>
      </c>
      <c r="C29" s="3">
        <v>50</v>
      </c>
      <c r="D29" s="3" t="s">
        <v>9</v>
      </c>
      <c r="E29" s="3">
        <v>1</v>
      </c>
      <c r="F29" s="3">
        <v>0.227996791014448</v>
      </c>
      <c r="I29" s="3" t="s">
        <v>6</v>
      </c>
      <c r="J29" s="3">
        <v>7.6477291004266604E-2</v>
      </c>
      <c r="L29" s="3" t="s">
        <v>3</v>
      </c>
      <c r="M29" s="3">
        <v>0.16321549902204399</v>
      </c>
    </row>
    <row r="30" spans="1:13">
      <c r="A30" s="3" t="s">
        <v>6</v>
      </c>
      <c r="B30" s="3" t="s">
        <v>5</v>
      </c>
      <c r="C30" s="3">
        <v>50</v>
      </c>
      <c r="D30" s="3" t="s">
        <v>9</v>
      </c>
      <c r="E30" s="3">
        <v>1</v>
      </c>
      <c r="F30" s="3">
        <v>0.16218645800836401</v>
      </c>
      <c r="I30" s="3" t="s">
        <v>6</v>
      </c>
      <c r="J30" s="3">
        <v>0.227996791014448</v>
      </c>
      <c r="L30" s="3" t="s">
        <v>3</v>
      </c>
      <c r="M30" s="3">
        <v>9.0340456983540193E-2</v>
      </c>
    </row>
    <row r="31" spans="1:13">
      <c r="A31" s="3" t="s">
        <v>6</v>
      </c>
      <c r="B31" s="3" t="s">
        <v>4</v>
      </c>
      <c r="C31" s="3">
        <v>50</v>
      </c>
      <c r="D31" s="3" t="s">
        <v>8</v>
      </c>
      <c r="E31" s="3">
        <v>1</v>
      </c>
      <c r="F31" s="3">
        <v>0.20583600003738001</v>
      </c>
      <c r="I31" s="3" t="s">
        <v>6</v>
      </c>
      <c r="J31" s="3">
        <v>0.16218645800836401</v>
      </c>
      <c r="L31" s="3" t="s">
        <v>3</v>
      </c>
      <c r="M31" s="3">
        <v>0.131542540970258</v>
      </c>
    </row>
    <row r="32" spans="1:13">
      <c r="A32" s="3" t="s">
        <v>6</v>
      </c>
      <c r="B32" s="3" t="s">
        <v>5</v>
      </c>
      <c r="C32" s="3">
        <v>100</v>
      </c>
      <c r="D32" s="3" t="s">
        <v>9</v>
      </c>
      <c r="E32" s="3">
        <v>1</v>
      </c>
      <c r="F32" s="3">
        <v>7.6504290977027295E-2</v>
      </c>
      <c r="I32" s="3" t="s">
        <v>6</v>
      </c>
      <c r="J32" s="3">
        <v>0.20583600003738001</v>
      </c>
      <c r="L32" s="3" t="s">
        <v>3</v>
      </c>
      <c r="M32" s="3">
        <v>0.152078666025773</v>
      </c>
    </row>
    <row r="33" spans="1:13">
      <c r="A33" s="3" t="s">
        <v>6</v>
      </c>
      <c r="B33" s="3" t="s">
        <v>5</v>
      </c>
      <c r="C33" s="3">
        <v>150</v>
      </c>
      <c r="D33" s="3" t="s">
        <v>9</v>
      </c>
      <c r="E33" s="3">
        <v>1</v>
      </c>
      <c r="F33" s="3">
        <v>6.6906582971569206E-2</v>
      </c>
      <c r="I33" s="3" t="s">
        <v>6</v>
      </c>
      <c r="J33" s="3">
        <v>7.6504290977027295E-2</v>
      </c>
      <c r="L33" s="3" t="s">
        <v>3</v>
      </c>
      <c r="M33" s="3">
        <v>0.20717008295469</v>
      </c>
    </row>
    <row r="34" spans="1:13">
      <c r="A34" s="3" t="s">
        <v>6</v>
      </c>
      <c r="B34" s="3" t="s">
        <v>5</v>
      </c>
      <c r="C34" s="3">
        <v>100</v>
      </c>
      <c r="D34" s="3" t="s">
        <v>9</v>
      </c>
      <c r="E34" s="3">
        <v>1</v>
      </c>
      <c r="F34" s="3">
        <v>0.12949445802951201</v>
      </c>
      <c r="I34" s="3" t="s">
        <v>6</v>
      </c>
      <c r="J34" s="3">
        <v>6.6906582971569206E-2</v>
      </c>
      <c r="L34" s="3" t="s">
        <v>3</v>
      </c>
      <c r="M34" s="3">
        <v>0.182247916003689</v>
      </c>
    </row>
    <row r="35" spans="1:13">
      <c r="A35" s="3" t="s">
        <v>6</v>
      </c>
      <c r="B35" s="3" t="s">
        <v>4</v>
      </c>
      <c r="C35" s="3">
        <v>50</v>
      </c>
      <c r="D35" s="3" t="s">
        <v>8</v>
      </c>
      <c r="E35" s="3">
        <v>1</v>
      </c>
      <c r="F35" s="3">
        <v>0.19289341603871399</v>
      </c>
      <c r="I35" s="3" t="s">
        <v>6</v>
      </c>
      <c r="J35" s="3">
        <v>0.12949445802951201</v>
      </c>
      <c r="L35" s="3" t="s">
        <v>3</v>
      </c>
      <c r="M35" s="3">
        <v>9.6855749026872204E-2</v>
      </c>
    </row>
    <row r="36" spans="1:13">
      <c r="A36" s="3" t="s">
        <v>6</v>
      </c>
      <c r="B36" s="3" t="s">
        <v>5</v>
      </c>
      <c r="C36" s="3">
        <v>50</v>
      </c>
      <c r="D36" s="3" t="s">
        <v>9</v>
      </c>
      <c r="E36" s="3">
        <v>1</v>
      </c>
      <c r="F36" s="3">
        <v>8.7241124012507498E-2</v>
      </c>
      <c r="I36" s="3" t="s">
        <v>6</v>
      </c>
      <c r="J36" s="3">
        <v>0.19289341603871399</v>
      </c>
      <c r="L36" s="3" t="s">
        <v>3</v>
      </c>
      <c r="M36" s="3">
        <v>0.144644665997475</v>
      </c>
    </row>
    <row r="37" spans="1:13">
      <c r="A37" s="3" t="s">
        <v>6</v>
      </c>
      <c r="B37" s="3" t="s">
        <v>5</v>
      </c>
      <c r="C37" s="3">
        <v>150</v>
      </c>
      <c r="D37" s="3" t="s">
        <v>9</v>
      </c>
      <c r="E37" s="3">
        <v>1</v>
      </c>
      <c r="F37" s="3">
        <v>0.10259549896</v>
      </c>
      <c r="I37" s="3" t="s">
        <v>6</v>
      </c>
      <c r="J37" s="3">
        <v>8.7241124012507498E-2</v>
      </c>
      <c r="L37" s="3" t="s">
        <v>3</v>
      </c>
      <c r="M37" s="3">
        <v>7.3293874040245996E-2</v>
      </c>
    </row>
    <row r="38" spans="1:13">
      <c r="A38" s="3" t="s">
        <v>6</v>
      </c>
      <c r="B38" s="3" t="s">
        <v>5</v>
      </c>
      <c r="C38" s="3">
        <v>50</v>
      </c>
      <c r="D38" s="3" t="s">
        <v>9</v>
      </c>
      <c r="E38" s="3">
        <v>1</v>
      </c>
      <c r="F38" s="3">
        <v>0.13995387399336301</v>
      </c>
      <c r="I38" s="3" t="s">
        <v>6</v>
      </c>
      <c r="J38" s="3">
        <v>0.10259549896</v>
      </c>
      <c r="L38" s="3" t="s">
        <v>3</v>
      </c>
      <c r="M38" s="3">
        <v>0.121419540955685</v>
      </c>
    </row>
    <row r="39" spans="1:13">
      <c r="A39" s="3" t="s">
        <v>6</v>
      </c>
      <c r="B39" s="3" t="s">
        <v>4</v>
      </c>
      <c r="C39" s="3">
        <v>100</v>
      </c>
      <c r="D39" s="3" t="s">
        <v>8</v>
      </c>
      <c r="E39" s="3">
        <v>1</v>
      </c>
      <c r="F39" s="3">
        <v>0.126477623998653</v>
      </c>
      <c r="I39" s="3" t="s">
        <v>6</v>
      </c>
      <c r="J39" s="3">
        <v>0.13995387399336301</v>
      </c>
      <c r="L39" s="3" t="s">
        <v>3</v>
      </c>
      <c r="M39" s="3">
        <v>0.15706145798321799</v>
      </c>
    </row>
    <row r="40" spans="1:13">
      <c r="A40" s="3" t="s">
        <v>6</v>
      </c>
      <c r="B40" s="3" t="s">
        <v>4</v>
      </c>
      <c r="C40" s="3">
        <v>150</v>
      </c>
      <c r="D40" s="3" t="s">
        <v>8</v>
      </c>
      <c r="E40" s="3">
        <v>1</v>
      </c>
      <c r="F40" s="3">
        <v>0.44834370800526802</v>
      </c>
      <c r="I40" s="3" t="s">
        <v>6</v>
      </c>
      <c r="J40" s="3">
        <v>0.126477623998653</v>
      </c>
      <c r="L40" s="3" t="s">
        <v>3</v>
      </c>
      <c r="M40" s="3">
        <v>7.9654916014988003E-2</v>
      </c>
    </row>
    <row r="41" spans="1:13">
      <c r="A41" s="3" t="s">
        <v>6</v>
      </c>
      <c r="B41" s="3" t="s">
        <v>5</v>
      </c>
      <c r="C41" s="3">
        <v>150</v>
      </c>
      <c r="D41" s="3" t="s">
        <v>9</v>
      </c>
      <c r="E41" s="3">
        <v>1</v>
      </c>
      <c r="F41" s="3">
        <v>7.4429623957257704E-2</v>
      </c>
      <c r="I41" s="3" t="s">
        <v>6</v>
      </c>
      <c r="J41" s="3">
        <v>0.44834370800526802</v>
      </c>
      <c r="L41" s="3" t="s">
        <v>3</v>
      </c>
      <c r="M41" s="3">
        <v>0.176590290968306</v>
      </c>
    </row>
    <row r="42" spans="1:13">
      <c r="A42" s="3" t="s">
        <v>6</v>
      </c>
      <c r="B42" s="3" t="s">
        <v>5</v>
      </c>
      <c r="C42" s="3">
        <v>100</v>
      </c>
      <c r="D42" s="3" t="s">
        <v>9</v>
      </c>
      <c r="E42" s="3">
        <v>1</v>
      </c>
      <c r="F42" s="3">
        <v>0.14623358199605699</v>
      </c>
      <c r="I42" s="3" t="s">
        <v>6</v>
      </c>
      <c r="J42" s="3">
        <v>7.4429623957257704E-2</v>
      </c>
      <c r="L42" s="3" t="s">
        <v>3</v>
      </c>
      <c r="M42" s="3">
        <v>0.17609812400769401</v>
      </c>
    </row>
    <row r="43" spans="1:13">
      <c r="A43" s="3" t="s">
        <v>6</v>
      </c>
      <c r="B43" s="3" t="s">
        <v>5</v>
      </c>
      <c r="C43" s="3">
        <v>50</v>
      </c>
      <c r="D43" s="3" t="s">
        <v>9</v>
      </c>
      <c r="E43" s="3">
        <v>1</v>
      </c>
      <c r="F43" s="3">
        <v>0.17492512398166599</v>
      </c>
      <c r="I43" s="3" t="s">
        <v>6</v>
      </c>
      <c r="J43" s="3">
        <v>0.14623358199605699</v>
      </c>
      <c r="L43" s="3" t="s">
        <v>3</v>
      </c>
      <c r="M43" s="3">
        <v>2.2852457012049899E-2</v>
      </c>
    </row>
    <row r="44" spans="1:13">
      <c r="A44" s="3" t="s">
        <v>6</v>
      </c>
      <c r="B44" s="3" t="s">
        <v>5</v>
      </c>
      <c r="C44" s="3">
        <v>50</v>
      </c>
      <c r="D44" s="3" t="s">
        <v>9</v>
      </c>
      <c r="E44" s="3">
        <v>1</v>
      </c>
      <c r="F44" s="3">
        <v>0.15874145802808901</v>
      </c>
      <c r="I44" s="3" t="s">
        <v>6</v>
      </c>
      <c r="J44" s="3">
        <v>0.17492512398166599</v>
      </c>
      <c r="L44" s="3" t="s">
        <v>3</v>
      </c>
      <c r="M44" s="3">
        <v>0.191809582989663</v>
      </c>
    </row>
    <row r="45" spans="1:13">
      <c r="A45" s="3" t="s">
        <v>6</v>
      </c>
      <c r="B45" s="3" t="s">
        <v>4</v>
      </c>
      <c r="C45" s="3">
        <v>100</v>
      </c>
      <c r="D45" s="3" t="s">
        <v>8</v>
      </c>
      <c r="E45" s="3">
        <v>1</v>
      </c>
      <c r="F45" s="3">
        <v>0.15397095802472899</v>
      </c>
      <c r="I45" s="3" t="s">
        <v>6</v>
      </c>
      <c r="J45" s="3">
        <v>0.15874145802808901</v>
      </c>
      <c r="L45" s="3" t="s">
        <v>3</v>
      </c>
      <c r="M45" s="3">
        <v>0.183222415973432</v>
      </c>
    </row>
    <row r="46" spans="1:13">
      <c r="A46" s="3" t="s">
        <v>6</v>
      </c>
      <c r="B46" s="3" t="s">
        <v>5</v>
      </c>
      <c r="C46" s="3">
        <v>100</v>
      </c>
      <c r="D46" s="3" t="s">
        <v>9</v>
      </c>
      <c r="E46" s="3">
        <v>1</v>
      </c>
      <c r="F46" s="3">
        <v>0.10680187400430401</v>
      </c>
      <c r="I46" s="3" t="s">
        <v>6</v>
      </c>
      <c r="J46" s="3">
        <v>0.15397095802472899</v>
      </c>
      <c r="L46" s="3" t="s">
        <v>3</v>
      </c>
      <c r="M46" s="3">
        <v>9.4944082957226797E-2</v>
      </c>
    </row>
    <row r="47" spans="1:13">
      <c r="A47" s="3" t="s">
        <v>6</v>
      </c>
      <c r="B47" s="3" t="s">
        <v>5</v>
      </c>
      <c r="C47" s="3">
        <v>100</v>
      </c>
      <c r="D47" s="3" t="s">
        <v>9</v>
      </c>
      <c r="E47" s="3">
        <v>1</v>
      </c>
      <c r="F47" s="3">
        <v>9.5573915983550306E-2</v>
      </c>
      <c r="I47" s="3" t="s">
        <v>6</v>
      </c>
      <c r="J47" s="3">
        <v>0.10680187400430401</v>
      </c>
      <c r="L47" s="3" t="s">
        <v>3</v>
      </c>
      <c r="M47" s="3">
        <v>0.194965498987585</v>
      </c>
    </row>
    <row r="48" spans="1:13">
      <c r="A48" s="3" t="s">
        <v>6</v>
      </c>
      <c r="B48" s="3" t="s">
        <v>4</v>
      </c>
      <c r="C48" s="3">
        <v>100</v>
      </c>
      <c r="D48" s="3" t="s">
        <v>8</v>
      </c>
      <c r="E48" s="3">
        <v>1</v>
      </c>
      <c r="F48" s="3">
        <v>8.3135791006497997E-2</v>
      </c>
      <c r="I48" s="3" t="s">
        <v>6</v>
      </c>
      <c r="J48" s="3">
        <v>9.5573915983550306E-2</v>
      </c>
      <c r="L48" s="3" t="s">
        <v>3</v>
      </c>
      <c r="M48" s="3">
        <v>0.18268133199308101</v>
      </c>
    </row>
    <row r="49" spans="1:13">
      <c r="A49" s="3" t="s">
        <v>6</v>
      </c>
      <c r="B49" s="3" t="s">
        <v>5</v>
      </c>
      <c r="C49" s="3">
        <v>150</v>
      </c>
      <c r="D49" s="3" t="s">
        <v>9</v>
      </c>
      <c r="E49" s="3">
        <v>1</v>
      </c>
      <c r="F49" s="3">
        <v>4.09195700194687E-3</v>
      </c>
      <c r="I49" s="3" t="s">
        <v>6</v>
      </c>
      <c r="J49" s="3">
        <v>8.3135791006497997E-2</v>
      </c>
      <c r="L49" s="3" t="s">
        <v>3</v>
      </c>
      <c r="M49" s="3">
        <v>0.127385831961874</v>
      </c>
    </row>
    <row r="50" spans="1:13">
      <c r="A50" s="3" t="s">
        <v>6</v>
      </c>
      <c r="B50" s="3" t="s">
        <v>5</v>
      </c>
      <c r="C50" s="3">
        <v>50</v>
      </c>
      <c r="D50" s="3" t="s">
        <v>8</v>
      </c>
      <c r="E50" s="3">
        <v>1</v>
      </c>
      <c r="F50" s="3">
        <v>6.8547040980774895E-2</v>
      </c>
      <c r="I50" s="3" t="s">
        <v>6</v>
      </c>
      <c r="J50" s="3">
        <v>4.09195700194687E-3</v>
      </c>
    </row>
    <row r="51" spans="1:13">
      <c r="A51" s="3" t="s">
        <v>3</v>
      </c>
      <c r="B51" s="3" t="s">
        <v>5</v>
      </c>
      <c r="C51" s="3">
        <v>150</v>
      </c>
      <c r="D51" s="3" t="s">
        <v>9</v>
      </c>
      <c r="E51" s="3">
        <v>1</v>
      </c>
      <c r="F51" s="3">
        <v>8.2622707006521495E-2</v>
      </c>
      <c r="I51" s="3" t="s">
        <v>6</v>
      </c>
      <c r="J51" s="3">
        <v>6.8547040980774895E-2</v>
      </c>
    </row>
    <row r="52" spans="1:13">
      <c r="A52" s="3" t="s">
        <v>3</v>
      </c>
      <c r="B52" s="3" t="s">
        <v>5</v>
      </c>
      <c r="C52" s="3">
        <v>150</v>
      </c>
      <c r="D52" s="3" t="s">
        <v>9</v>
      </c>
      <c r="E52" s="3">
        <v>1</v>
      </c>
      <c r="F52" s="3">
        <v>4.2080957966390997E-2</v>
      </c>
      <c r="I52" s="3" t="s">
        <v>12</v>
      </c>
      <c r="J52">
        <f>AVERAGE(J4:J51)</f>
        <v>0.14149730570716204</v>
      </c>
      <c r="L52" s="3" t="s">
        <v>12</v>
      </c>
      <c r="M52">
        <f>AVERAGE(M4:M49)</f>
        <v>0.13575413056305083</v>
      </c>
    </row>
    <row r="53" spans="1:13">
      <c r="A53" s="3" t="s">
        <v>3</v>
      </c>
      <c r="B53" s="3" t="s">
        <v>5</v>
      </c>
      <c r="C53" s="3">
        <v>150</v>
      </c>
      <c r="D53" s="3" t="s">
        <v>9</v>
      </c>
      <c r="E53" s="3">
        <v>1</v>
      </c>
      <c r="F53" s="3">
        <v>5.1642791018821299E-2</v>
      </c>
    </row>
    <row r="54" spans="1:13">
      <c r="A54" s="3" t="s">
        <v>3</v>
      </c>
      <c r="B54" s="3" t="s">
        <v>5</v>
      </c>
      <c r="C54" s="3">
        <v>150</v>
      </c>
      <c r="D54" s="3" t="s">
        <v>9</v>
      </c>
      <c r="E54" s="3">
        <v>1</v>
      </c>
      <c r="F54" s="3">
        <v>4.6638458035886302E-2</v>
      </c>
      <c r="H54" s="3" t="s">
        <v>17</v>
      </c>
      <c r="I54" t="s">
        <v>14</v>
      </c>
      <c r="J54" t="s">
        <v>15</v>
      </c>
    </row>
    <row r="55" spans="1:13" ht="18">
      <c r="A55" s="3" t="s">
        <v>3</v>
      </c>
      <c r="B55" s="3" t="s">
        <v>5</v>
      </c>
      <c r="C55" s="3">
        <v>50</v>
      </c>
      <c r="D55" s="3" t="s">
        <v>9</v>
      </c>
      <c r="E55" s="3">
        <v>1</v>
      </c>
      <c r="F55" s="3">
        <v>0.13761566596804201</v>
      </c>
      <c r="H55" s="3">
        <v>50</v>
      </c>
      <c r="I55" s="7">
        <f>AVERAGEIFS(F:F, A:A,"valid", C:C,50)</f>
        <v>0.18282273181830525</v>
      </c>
      <c r="J55" s="7">
        <f>AVERAGEIFS(F:F, A:A,"invalid", C:C,50)</f>
        <v>0.154428251618002</v>
      </c>
    </row>
    <row r="56" spans="1:13" ht="18">
      <c r="A56" s="3" t="s">
        <v>3</v>
      </c>
      <c r="B56" s="3" t="s">
        <v>5</v>
      </c>
      <c r="C56" s="3">
        <v>150</v>
      </c>
      <c r="D56" s="3" t="s">
        <v>9</v>
      </c>
      <c r="E56" s="3">
        <v>1</v>
      </c>
      <c r="F56" s="3">
        <v>2.7109457994811199E-2</v>
      </c>
      <c r="H56" s="3">
        <v>100</v>
      </c>
      <c r="I56" s="7">
        <f>AVERAGEIFS(F:F, A:A,"valid", C:C,100)</f>
        <v>0.15354677135645239</v>
      </c>
      <c r="J56" s="7">
        <f>AVERAGEIFS(F:F, A:A,"invalid", C:C,100)</f>
        <v>0.13129219373610485</v>
      </c>
    </row>
    <row r="57" spans="1:13" ht="18">
      <c r="A57" s="3" t="s">
        <v>3</v>
      </c>
      <c r="B57" s="3" t="s">
        <v>5</v>
      </c>
      <c r="C57" s="3">
        <v>100</v>
      </c>
      <c r="D57" s="3" t="s">
        <v>9</v>
      </c>
      <c r="E57" s="3">
        <v>1</v>
      </c>
      <c r="F57" s="3">
        <v>8.27803330030292E-2</v>
      </c>
      <c r="H57" s="3">
        <v>150</v>
      </c>
      <c r="I57" s="7">
        <f>AVERAGEIFS(F:F, A:A,"valid", C:C,150)</f>
        <v>8.4736594765940143E-2</v>
      </c>
      <c r="J57" s="7">
        <f>AVERAGEIFS(F:F, A:A,"invalid", C:C,150)</f>
        <v>0.13618528258521112</v>
      </c>
    </row>
    <row r="58" spans="1:13">
      <c r="A58" s="3" t="s">
        <v>3</v>
      </c>
      <c r="B58" s="3" t="s">
        <v>5</v>
      </c>
      <c r="C58" s="3">
        <v>100</v>
      </c>
      <c r="D58" s="3" t="s">
        <v>9</v>
      </c>
      <c r="E58" s="3">
        <v>1</v>
      </c>
      <c r="F58" s="3">
        <v>0.444042040966451</v>
      </c>
    </row>
    <row r="59" spans="1:13">
      <c r="A59" s="4"/>
      <c r="B59" s="4"/>
      <c r="C59" s="4"/>
      <c r="D59" s="4"/>
      <c r="E59" s="4">
        <v>0</v>
      </c>
      <c r="F59" s="4"/>
    </row>
    <row r="60" spans="1:13">
      <c r="A60" s="3" t="s">
        <v>3</v>
      </c>
      <c r="B60" s="3" t="s">
        <v>4</v>
      </c>
      <c r="C60" s="3">
        <v>50</v>
      </c>
      <c r="D60" s="3" t="s">
        <v>8</v>
      </c>
      <c r="E60" s="3">
        <v>1</v>
      </c>
      <c r="F60" s="3">
        <v>0.21293016598792699</v>
      </c>
    </row>
    <row r="61" spans="1:13">
      <c r="A61" s="3" t="s">
        <v>3</v>
      </c>
      <c r="B61" s="3" t="s">
        <v>4</v>
      </c>
      <c r="C61" s="3">
        <v>100</v>
      </c>
      <c r="D61" s="3" t="s">
        <v>8</v>
      </c>
      <c r="E61" s="3">
        <v>1</v>
      </c>
      <c r="F61" s="3">
        <v>8.2908248994499403E-2</v>
      </c>
    </row>
    <row r="62" spans="1:13">
      <c r="A62" s="3" t="s">
        <v>3</v>
      </c>
      <c r="B62" s="3" t="s">
        <v>5</v>
      </c>
      <c r="C62" s="3">
        <v>50</v>
      </c>
      <c r="D62" s="3" t="s">
        <v>9</v>
      </c>
      <c r="E62" s="3">
        <v>1</v>
      </c>
      <c r="F62" s="3">
        <v>0.170809373958036</v>
      </c>
    </row>
    <row r="63" spans="1:13">
      <c r="A63" s="3" t="s">
        <v>3</v>
      </c>
      <c r="B63" s="3" t="s">
        <v>4</v>
      </c>
      <c r="C63" s="3">
        <v>150</v>
      </c>
      <c r="D63" s="3" t="s">
        <v>8</v>
      </c>
      <c r="E63" s="3">
        <v>1</v>
      </c>
      <c r="F63" s="3">
        <v>0.16695895697921501</v>
      </c>
    </row>
    <row r="64" spans="1:13">
      <c r="A64" s="3" t="s">
        <v>3</v>
      </c>
      <c r="B64" s="3" t="s">
        <v>4</v>
      </c>
      <c r="C64" s="3">
        <v>150</v>
      </c>
      <c r="D64" s="3" t="s">
        <v>8</v>
      </c>
      <c r="E64" s="3">
        <v>1</v>
      </c>
      <c r="F64" s="3">
        <v>9.9750291032250998E-2</v>
      </c>
    </row>
    <row r="65" spans="1:6">
      <c r="A65" s="3" t="s">
        <v>3</v>
      </c>
      <c r="B65" s="3" t="s">
        <v>5</v>
      </c>
      <c r="C65" s="3">
        <v>150</v>
      </c>
      <c r="D65" s="3" t="s">
        <v>9</v>
      </c>
      <c r="E65" s="3">
        <v>1</v>
      </c>
      <c r="F65" s="3">
        <v>5.2795290946960498E-2</v>
      </c>
    </row>
    <row r="66" spans="1:6">
      <c r="A66" s="3" t="s">
        <v>3</v>
      </c>
      <c r="B66" s="3" t="s">
        <v>4</v>
      </c>
      <c r="C66" s="3">
        <v>50</v>
      </c>
      <c r="D66" s="3" t="s">
        <v>8</v>
      </c>
      <c r="E66" s="3">
        <v>1</v>
      </c>
      <c r="F66" s="3">
        <v>0.26393095700768798</v>
      </c>
    </row>
    <row r="67" spans="1:6">
      <c r="A67" s="3" t="s">
        <v>3</v>
      </c>
      <c r="B67" s="3" t="s">
        <v>5</v>
      </c>
      <c r="C67" s="3">
        <v>100</v>
      </c>
      <c r="D67" s="3" t="s">
        <v>9</v>
      </c>
      <c r="E67" s="3">
        <v>1</v>
      </c>
      <c r="F67" s="3">
        <v>0.169824166048784</v>
      </c>
    </row>
    <row r="68" spans="1:6">
      <c r="A68" s="3" t="s">
        <v>3</v>
      </c>
      <c r="B68" s="3" t="s">
        <v>4</v>
      </c>
      <c r="C68" s="3">
        <v>50</v>
      </c>
      <c r="D68" s="3" t="s">
        <v>8</v>
      </c>
      <c r="E68" s="3">
        <v>1</v>
      </c>
      <c r="F68" s="3">
        <v>0.16254741599550501</v>
      </c>
    </row>
    <row r="69" spans="1:6">
      <c r="A69" s="3" t="s">
        <v>3</v>
      </c>
      <c r="B69" s="3" t="s">
        <v>5</v>
      </c>
      <c r="C69" s="3">
        <v>150</v>
      </c>
      <c r="D69" s="3" t="s">
        <v>9</v>
      </c>
      <c r="E69" s="3">
        <v>1</v>
      </c>
      <c r="F69" s="3">
        <v>7.9049082996789394E-2</v>
      </c>
    </row>
    <row r="70" spans="1:6">
      <c r="A70" s="3" t="s">
        <v>3</v>
      </c>
      <c r="B70" s="3" t="s">
        <v>5</v>
      </c>
      <c r="C70" s="3">
        <v>100</v>
      </c>
      <c r="D70" s="3" t="s">
        <v>9</v>
      </c>
      <c r="E70" s="3">
        <v>1</v>
      </c>
      <c r="F70" s="3">
        <v>0.166562041034922</v>
      </c>
    </row>
    <row r="71" spans="1:6">
      <c r="A71" s="3" t="s">
        <v>3</v>
      </c>
      <c r="B71" s="3" t="s">
        <v>4</v>
      </c>
      <c r="C71" s="3">
        <v>100</v>
      </c>
      <c r="D71" s="3" t="s">
        <v>8</v>
      </c>
      <c r="E71" s="3">
        <v>1</v>
      </c>
      <c r="F71" s="3">
        <v>0.123596625053324</v>
      </c>
    </row>
    <row r="72" spans="1:6">
      <c r="A72" s="3" t="s">
        <v>3</v>
      </c>
      <c r="B72" s="3" t="s">
        <v>4</v>
      </c>
      <c r="C72" s="3">
        <v>150</v>
      </c>
      <c r="D72" s="3" t="s">
        <v>8</v>
      </c>
      <c r="E72" s="3">
        <v>1</v>
      </c>
      <c r="F72" s="3">
        <v>9.0362332994118305E-2</v>
      </c>
    </row>
    <row r="73" spans="1:6">
      <c r="A73" s="3" t="s">
        <v>3</v>
      </c>
      <c r="B73" s="3" t="s">
        <v>4</v>
      </c>
      <c r="C73" s="3">
        <v>150</v>
      </c>
      <c r="D73" s="3" t="s">
        <v>8</v>
      </c>
      <c r="E73" s="3">
        <v>1</v>
      </c>
      <c r="F73" s="3">
        <v>0.13234370702411999</v>
      </c>
    </row>
    <row r="74" spans="1:6">
      <c r="A74" s="3" t="s">
        <v>3</v>
      </c>
      <c r="B74" s="3" t="s">
        <v>5</v>
      </c>
      <c r="C74" s="3">
        <v>100</v>
      </c>
      <c r="D74" s="3" t="s">
        <v>9</v>
      </c>
      <c r="E74" s="3">
        <v>1</v>
      </c>
      <c r="F74" s="3">
        <v>9.0724332025274607E-2</v>
      </c>
    </row>
    <row r="75" spans="1:6">
      <c r="A75" s="3" t="s">
        <v>3</v>
      </c>
      <c r="B75" s="3" t="s">
        <v>5</v>
      </c>
      <c r="C75" s="3">
        <v>100</v>
      </c>
      <c r="D75" s="3" t="s">
        <v>9</v>
      </c>
      <c r="E75" s="3">
        <v>1</v>
      </c>
      <c r="F75" s="3">
        <v>0.16203387401765201</v>
      </c>
    </row>
    <row r="76" spans="1:6">
      <c r="A76" s="3" t="s">
        <v>3</v>
      </c>
      <c r="B76" s="3" t="s">
        <v>4</v>
      </c>
      <c r="C76" s="3">
        <v>100</v>
      </c>
      <c r="D76" s="3" t="s">
        <v>8</v>
      </c>
      <c r="E76" s="3">
        <v>1</v>
      </c>
      <c r="F76" s="3">
        <v>0.152955749013927</v>
      </c>
    </row>
    <row r="77" spans="1:6">
      <c r="A77" s="4"/>
      <c r="B77" s="4"/>
      <c r="C77" s="4"/>
      <c r="D77" s="4"/>
      <c r="E77" s="4">
        <v>0</v>
      </c>
      <c r="F77" s="4"/>
    </row>
    <row r="78" spans="1:6">
      <c r="A78" s="3" t="s">
        <v>3</v>
      </c>
      <c r="B78" s="3" t="s">
        <v>4</v>
      </c>
      <c r="C78" s="3">
        <v>50</v>
      </c>
      <c r="D78" s="3" t="s">
        <v>8</v>
      </c>
      <c r="E78" s="3">
        <v>1</v>
      </c>
      <c r="F78" s="3">
        <v>0.16321549902204399</v>
      </c>
    </row>
    <row r="79" spans="1:6">
      <c r="A79" s="3" t="s">
        <v>3</v>
      </c>
      <c r="B79" s="3" t="s">
        <v>4</v>
      </c>
      <c r="C79" s="3">
        <v>150</v>
      </c>
      <c r="D79" s="3" t="s">
        <v>8</v>
      </c>
      <c r="E79" s="3">
        <v>1</v>
      </c>
      <c r="F79" s="3">
        <v>9.0340456983540193E-2</v>
      </c>
    </row>
    <row r="80" spans="1:6">
      <c r="A80" s="3" t="s">
        <v>3</v>
      </c>
      <c r="B80" s="3" t="s">
        <v>4</v>
      </c>
      <c r="C80" s="3">
        <v>100</v>
      </c>
      <c r="D80" s="3" t="s">
        <v>8</v>
      </c>
      <c r="E80" s="3">
        <v>1</v>
      </c>
      <c r="F80" s="3">
        <v>0.131542540970258</v>
      </c>
    </row>
    <row r="81" spans="1:6">
      <c r="A81" s="3" t="s">
        <v>3</v>
      </c>
      <c r="B81" s="3" t="s">
        <v>4</v>
      </c>
      <c r="C81" s="3">
        <v>150</v>
      </c>
      <c r="D81" s="3" t="s">
        <v>8</v>
      </c>
      <c r="E81" s="3">
        <v>1</v>
      </c>
      <c r="F81" s="3">
        <v>0.152078666025773</v>
      </c>
    </row>
    <row r="82" spans="1:6">
      <c r="A82" s="3" t="s">
        <v>3</v>
      </c>
      <c r="B82" s="3" t="s">
        <v>5</v>
      </c>
      <c r="C82" s="3">
        <v>50</v>
      </c>
      <c r="D82" s="3" t="s">
        <v>9</v>
      </c>
      <c r="E82" s="3">
        <v>1</v>
      </c>
      <c r="F82" s="3">
        <v>0.20717008295469</v>
      </c>
    </row>
    <row r="83" spans="1:6">
      <c r="A83" s="3" t="s">
        <v>3</v>
      </c>
      <c r="B83" s="3" t="s">
        <v>4</v>
      </c>
      <c r="C83" s="3">
        <v>100</v>
      </c>
      <c r="D83" s="3" t="s">
        <v>8</v>
      </c>
      <c r="E83" s="3">
        <v>1</v>
      </c>
      <c r="F83" s="3">
        <v>0.182247916003689</v>
      </c>
    </row>
    <row r="84" spans="1:6">
      <c r="A84" s="3" t="s">
        <v>3</v>
      </c>
      <c r="B84" s="3" t="s">
        <v>5</v>
      </c>
      <c r="C84" s="3">
        <v>150</v>
      </c>
      <c r="D84" s="3" t="s">
        <v>9</v>
      </c>
      <c r="E84" s="3">
        <v>1</v>
      </c>
      <c r="F84" s="3">
        <v>9.6855749026872204E-2</v>
      </c>
    </row>
    <row r="85" spans="1:6">
      <c r="A85" s="3" t="s">
        <v>3</v>
      </c>
      <c r="B85" s="3" t="s">
        <v>4</v>
      </c>
      <c r="C85" s="3">
        <v>100</v>
      </c>
      <c r="D85" s="3" t="s">
        <v>8</v>
      </c>
      <c r="E85" s="3">
        <v>1</v>
      </c>
      <c r="F85" s="3">
        <v>0.144644665997475</v>
      </c>
    </row>
    <row r="86" spans="1:6">
      <c r="A86" s="3" t="s">
        <v>3</v>
      </c>
      <c r="B86" s="3" t="s">
        <v>5</v>
      </c>
      <c r="C86" s="3">
        <v>100</v>
      </c>
      <c r="D86" s="3" t="s">
        <v>9</v>
      </c>
      <c r="E86" s="3">
        <v>1</v>
      </c>
      <c r="F86" s="3">
        <v>7.3293874040245996E-2</v>
      </c>
    </row>
    <row r="87" spans="1:6">
      <c r="A87" s="3" t="s">
        <v>3</v>
      </c>
      <c r="B87" s="3" t="s">
        <v>5</v>
      </c>
      <c r="C87" s="3">
        <v>100</v>
      </c>
      <c r="D87" s="3" t="s">
        <v>9</v>
      </c>
      <c r="E87" s="3">
        <v>1</v>
      </c>
      <c r="F87" s="3">
        <v>0.121419540955685</v>
      </c>
    </row>
    <row r="88" spans="1:6">
      <c r="A88" s="3" t="s">
        <v>3</v>
      </c>
      <c r="B88" s="3" t="s">
        <v>4</v>
      </c>
      <c r="C88" s="3">
        <v>50</v>
      </c>
      <c r="D88" s="3" t="s">
        <v>8</v>
      </c>
      <c r="E88" s="3">
        <v>1</v>
      </c>
      <c r="F88" s="3">
        <v>0.15706145798321799</v>
      </c>
    </row>
    <row r="89" spans="1:6">
      <c r="A89" s="3" t="s">
        <v>3</v>
      </c>
      <c r="B89" s="3" t="s">
        <v>4</v>
      </c>
      <c r="C89" s="3">
        <v>150</v>
      </c>
      <c r="D89" s="3" t="s">
        <v>8</v>
      </c>
      <c r="E89" s="3">
        <v>1</v>
      </c>
      <c r="F89" s="3">
        <v>7.9654916014988003E-2</v>
      </c>
    </row>
    <row r="90" spans="1:6">
      <c r="A90" s="3" t="s">
        <v>3</v>
      </c>
      <c r="B90" s="3" t="s">
        <v>5</v>
      </c>
      <c r="C90" s="3">
        <v>50</v>
      </c>
      <c r="D90" s="3" t="s">
        <v>9</v>
      </c>
      <c r="E90" s="3">
        <v>1</v>
      </c>
      <c r="F90" s="3">
        <v>0.176590290968306</v>
      </c>
    </row>
    <row r="91" spans="1:6">
      <c r="A91" s="3" t="s">
        <v>3</v>
      </c>
      <c r="B91" s="3" t="s">
        <v>4</v>
      </c>
      <c r="C91" s="3">
        <v>50</v>
      </c>
      <c r="D91" s="3" t="s">
        <v>8</v>
      </c>
      <c r="E91" s="3">
        <v>1</v>
      </c>
      <c r="F91" s="3">
        <v>0.17609812400769401</v>
      </c>
    </row>
    <row r="92" spans="1:6">
      <c r="A92" s="3" t="s">
        <v>3</v>
      </c>
      <c r="B92" s="3" t="s">
        <v>5</v>
      </c>
      <c r="C92" s="3">
        <v>150</v>
      </c>
      <c r="D92" s="3" t="s">
        <v>9</v>
      </c>
      <c r="E92" s="3">
        <v>1</v>
      </c>
      <c r="F92" s="3">
        <v>2.2852457012049899E-2</v>
      </c>
    </row>
    <row r="93" spans="1:6">
      <c r="A93" s="3" t="s">
        <v>3</v>
      </c>
      <c r="B93" s="3" t="s">
        <v>5</v>
      </c>
      <c r="C93" s="3">
        <v>100</v>
      </c>
      <c r="D93" s="3" t="s">
        <v>9</v>
      </c>
      <c r="E93" s="3">
        <v>1</v>
      </c>
      <c r="F93" s="3">
        <v>0.191809582989663</v>
      </c>
    </row>
    <row r="94" spans="1:6">
      <c r="A94" s="3" t="s">
        <v>3</v>
      </c>
      <c r="B94" s="3" t="s">
        <v>5</v>
      </c>
      <c r="C94" s="3">
        <v>50</v>
      </c>
      <c r="D94" s="3" t="s">
        <v>9</v>
      </c>
      <c r="E94" s="3">
        <v>1</v>
      </c>
      <c r="F94" s="3">
        <v>0.183222415973432</v>
      </c>
    </row>
    <row r="95" spans="1:6">
      <c r="A95" s="3" t="s">
        <v>3</v>
      </c>
      <c r="B95" s="3" t="s">
        <v>4</v>
      </c>
      <c r="C95" s="3">
        <v>100</v>
      </c>
      <c r="D95" s="3" t="s">
        <v>8</v>
      </c>
      <c r="E95" s="3">
        <v>1</v>
      </c>
      <c r="F95" s="3">
        <v>9.4944082957226797E-2</v>
      </c>
    </row>
    <row r="96" spans="1:6">
      <c r="A96" s="3" t="s">
        <v>3</v>
      </c>
      <c r="B96" s="3" t="s">
        <v>4</v>
      </c>
      <c r="C96" s="3">
        <v>100</v>
      </c>
      <c r="D96" s="3" t="s">
        <v>8</v>
      </c>
      <c r="E96" s="3">
        <v>1</v>
      </c>
      <c r="F96" s="3">
        <v>0.194965498987585</v>
      </c>
    </row>
    <row r="97" spans="1:6">
      <c r="A97" s="3" t="s">
        <v>3</v>
      </c>
      <c r="B97" s="3" t="s">
        <v>4</v>
      </c>
      <c r="C97" s="3">
        <v>50</v>
      </c>
      <c r="D97" s="3" t="s">
        <v>8</v>
      </c>
      <c r="E97" s="3">
        <v>1</v>
      </c>
      <c r="F97" s="3">
        <v>0.18268133199308101</v>
      </c>
    </row>
    <row r="98" spans="1:6">
      <c r="A98" s="3" t="s">
        <v>3</v>
      </c>
      <c r="B98" s="3" t="s">
        <v>4</v>
      </c>
      <c r="C98" s="3">
        <v>150</v>
      </c>
      <c r="D98" s="3" t="s">
        <v>8</v>
      </c>
      <c r="E98" s="3">
        <v>1</v>
      </c>
      <c r="F98" s="3">
        <v>0.127385831961874</v>
      </c>
    </row>
  </sheetData>
  <sortState xmlns:xlrd2="http://schemas.microsoft.com/office/spreadsheetml/2017/richdata2" ref="A3:A98">
    <sortCondition ref="A3:A9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ABB1-3B05-7144-93E5-BBE8982E7201}">
  <dimension ref="A1:P98"/>
  <sheetViews>
    <sheetView workbookViewId="0">
      <selection activeCell="O6" sqref="O6:P6"/>
    </sheetView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7</v>
      </c>
      <c r="E1" s="1" t="s">
        <v>10</v>
      </c>
      <c r="F1" s="1" t="s">
        <v>11</v>
      </c>
    </row>
    <row r="2" spans="1:16">
      <c r="A2" s="2"/>
      <c r="B2" s="2"/>
      <c r="C2" s="2"/>
      <c r="D2" s="2"/>
      <c r="E2" s="2"/>
      <c r="F2" s="2"/>
      <c r="I2" s="1" t="s">
        <v>0</v>
      </c>
      <c r="J2" s="1" t="s">
        <v>11</v>
      </c>
      <c r="L2" s="1" t="s">
        <v>0</v>
      </c>
      <c r="M2" s="1" t="s">
        <v>11</v>
      </c>
    </row>
    <row r="3" spans="1:16">
      <c r="A3" s="3" t="s">
        <v>6</v>
      </c>
      <c r="B3" s="3" t="s">
        <v>5</v>
      </c>
      <c r="C3" s="3">
        <v>150</v>
      </c>
      <c r="D3" s="3" t="s">
        <v>9</v>
      </c>
      <c r="E3" s="3">
        <v>1</v>
      </c>
      <c r="F3" s="3">
        <v>0.12186145799933</v>
      </c>
    </row>
    <row r="4" spans="1:16">
      <c r="A4" s="3" t="s">
        <v>6</v>
      </c>
      <c r="B4" s="3" t="s">
        <v>4</v>
      </c>
      <c r="C4" s="3">
        <v>150</v>
      </c>
      <c r="D4" s="3" t="s">
        <v>8</v>
      </c>
      <c r="E4" s="3">
        <v>1</v>
      </c>
      <c r="F4" s="3">
        <v>0.11255625000922</v>
      </c>
      <c r="I4" s="3" t="s">
        <v>6</v>
      </c>
      <c r="J4" s="3">
        <v>0.12186145799933</v>
      </c>
      <c r="L4" s="3" t="s">
        <v>3</v>
      </c>
      <c r="M4" s="3">
        <v>0.22229683399200401</v>
      </c>
    </row>
    <row r="5" spans="1:16">
      <c r="A5" s="3" t="s">
        <v>6</v>
      </c>
      <c r="B5" s="3" t="s">
        <v>4</v>
      </c>
      <c r="C5" s="3">
        <v>150</v>
      </c>
      <c r="D5" s="3" t="s">
        <v>8</v>
      </c>
      <c r="E5" s="3">
        <v>1</v>
      </c>
      <c r="F5" s="3">
        <v>9.9244082986842799E-2</v>
      </c>
      <c r="I5" s="3" t="s">
        <v>6</v>
      </c>
      <c r="J5" s="3">
        <v>0.11255625000922</v>
      </c>
      <c r="L5" s="3" t="s">
        <v>3</v>
      </c>
      <c r="M5" s="3">
        <v>0.18264000001363501</v>
      </c>
      <c r="O5" t="s">
        <v>3</v>
      </c>
      <c r="P5" t="s">
        <v>6</v>
      </c>
    </row>
    <row r="6" spans="1:16">
      <c r="A6" s="3" t="s">
        <v>6</v>
      </c>
      <c r="B6" s="3" t="s">
        <v>5</v>
      </c>
      <c r="C6" s="3">
        <v>50</v>
      </c>
      <c r="D6" s="3" t="s">
        <v>9</v>
      </c>
      <c r="E6" s="3">
        <v>1</v>
      </c>
      <c r="F6" s="3">
        <v>0.24629524996271401</v>
      </c>
      <c r="I6" s="3" t="s">
        <v>6</v>
      </c>
      <c r="J6" s="3">
        <v>9.9244082986842799E-2</v>
      </c>
      <c r="L6" s="3" t="s">
        <v>3</v>
      </c>
      <c r="M6" s="3">
        <v>0.21021237497916401</v>
      </c>
      <c r="N6" t="s">
        <v>29</v>
      </c>
      <c r="O6">
        <f>AVERAGE(E3:E50)*100</f>
        <v>100</v>
      </c>
      <c r="P6">
        <f>AVERAGE(E51:E98)*100</f>
        <v>100</v>
      </c>
    </row>
    <row r="7" spans="1:16">
      <c r="A7" s="3" t="s">
        <v>6</v>
      </c>
      <c r="B7" s="3" t="s">
        <v>4</v>
      </c>
      <c r="C7" s="3">
        <v>100</v>
      </c>
      <c r="D7" s="3" t="s">
        <v>8</v>
      </c>
      <c r="E7" s="3">
        <v>1</v>
      </c>
      <c r="F7" s="3">
        <v>0.120418166043237</v>
      </c>
      <c r="I7" s="3" t="s">
        <v>6</v>
      </c>
      <c r="J7" s="3">
        <v>0.24629524996271401</v>
      </c>
      <c r="L7" s="3" t="s">
        <v>3</v>
      </c>
      <c r="M7" s="3">
        <v>0.216558624990284</v>
      </c>
    </row>
    <row r="8" spans="1:16">
      <c r="A8" s="3" t="s">
        <v>6</v>
      </c>
      <c r="B8" s="3" t="s">
        <v>5</v>
      </c>
      <c r="C8" s="3">
        <v>100</v>
      </c>
      <c r="D8" s="3" t="s">
        <v>8</v>
      </c>
      <c r="E8" s="3">
        <v>1</v>
      </c>
      <c r="F8" s="3">
        <v>0.159352458023932</v>
      </c>
      <c r="I8" s="3" t="s">
        <v>6</v>
      </c>
      <c r="J8" s="3">
        <v>0.120418166043237</v>
      </c>
      <c r="L8" s="3" t="s">
        <v>3</v>
      </c>
      <c r="M8" s="3">
        <v>0.18968379200669</v>
      </c>
    </row>
    <row r="9" spans="1:16">
      <c r="A9" s="3" t="s">
        <v>6</v>
      </c>
      <c r="B9" s="3" t="s">
        <v>5</v>
      </c>
      <c r="C9" s="3">
        <v>50</v>
      </c>
      <c r="D9" s="3" t="s">
        <v>9</v>
      </c>
      <c r="E9" s="3">
        <v>1</v>
      </c>
      <c r="F9" s="3">
        <v>0.36575449997326398</v>
      </c>
      <c r="I9" s="3" t="s">
        <v>6</v>
      </c>
      <c r="J9" s="3">
        <v>0.159352458023932</v>
      </c>
      <c r="L9" s="3" t="s">
        <v>3</v>
      </c>
      <c r="M9" s="3">
        <v>0.113058541028295</v>
      </c>
    </row>
    <row r="10" spans="1:16">
      <c r="A10" s="3" t="s">
        <v>6</v>
      </c>
      <c r="B10" s="3" t="s">
        <v>4</v>
      </c>
      <c r="C10" s="3">
        <v>50</v>
      </c>
      <c r="D10" s="3" t="s">
        <v>8</v>
      </c>
      <c r="E10" s="3">
        <v>1</v>
      </c>
      <c r="F10" s="3">
        <v>0.33376541599864101</v>
      </c>
      <c r="I10" s="3" t="s">
        <v>6</v>
      </c>
      <c r="J10" s="3">
        <v>0.36575449997326398</v>
      </c>
      <c r="L10" s="3" t="s">
        <v>3</v>
      </c>
      <c r="M10" s="3">
        <v>0.15528687497135299</v>
      </c>
    </row>
    <row r="11" spans="1:16">
      <c r="A11" s="3" t="s">
        <v>6</v>
      </c>
      <c r="B11" s="3" t="s">
        <v>4</v>
      </c>
      <c r="C11" s="3">
        <v>150</v>
      </c>
      <c r="D11" s="3" t="s">
        <v>8</v>
      </c>
      <c r="E11" s="3">
        <v>1</v>
      </c>
      <c r="F11" s="3">
        <v>0.29738170898053801</v>
      </c>
      <c r="I11" s="3" t="s">
        <v>6</v>
      </c>
      <c r="J11" s="3">
        <v>0.33376541599864101</v>
      </c>
      <c r="L11" s="3" t="s">
        <v>3</v>
      </c>
      <c r="M11" s="3">
        <v>0.116131999995559</v>
      </c>
    </row>
    <row r="12" spans="1:16">
      <c r="A12" s="3" t="s">
        <v>6</v>
      </c>
      <c r="B12" s="3" t="s">
        <v>5</v>
      </c>
      <c r="C12" s="3">
        <v>150</v>
      </c>
      <c r="D12" s="3" t="s">
        <v>9</v>
      </c>
      <c r="E12" s="3">
        <v>1</v>
      </c>
      <c r="F12" s="3">
        <v>0.27036437502829402</v>
      </c>
      <c r="I12" s="3" t="s">
        <v>6</v>
      </c>
      <c r="J12" s="3">
        <v>0.29738170898053801</v>
      </c>
      <c r="L12" s="3" t="s">
        <v>3</v>
      </c>
      <c r="M12" s="3">
        <v>0.14839154202491001</v>
      </c>
    </row>
    <row r="13" spans="1:16">
      <c r="A13" s="3" t="s">
        <v>6</v>
      </c>
      <c r="B13" s="3" t="s">
        <v>5</v>
      </c>
      <c r="C13" s="3">
        <v>150</v>
      </c>
      <c r="D13" s="3" t="s">
        <v>9</v>
      </c>
      <c r="E13" s="3">
        <v>1</v>
      </c>
      <c r="F13" s="3">
        <v>0.20586250000633299</v>
      </c>
      <c r="I13" s="3" t="s">
        <v>6</v>
      </c>
      <c r="J13" s="3">
        <v>0.27036437502829402</v>
      </c>
      <c r="L13" s="3" t="s">
        <v>3</v>
      </c>
      <c r="M13" s="3">
        <v>0.17933625000296199</v>
      </c>
    </row>
    <row r="14" spans="1:16">
      <c r="A14" s="3" t="s">
        <v>6</v>
      </c>
      <c r="B14" s="3" t="s">
        <v>5</v>
      </c>
      <c r="C14" s="3">
        <v>50</v>
      </c>
      <c r="D14" s="3" t="s">
        <v>9</v>
      </c>
      <c r="E14" s="3">
        <v>1</v>
      </c>
      <c r="F14" s="3">
        <v>0.22010270803002599</v>
      </c>
      <c r="I14" s="3" t="s">
        <v>6</v>
      </c>
      <c r="J14" s="3">
        <v>0.20586250000633299</v>
      </c>
      <c r="L14" s="3" t="s">
        <v>3</v>
      </c>
      <c r="M14" s="3">
        <v>0.19008929101983099</v>
      </c>
    </row>
    <row r="15" spans="1:16">
      <c r="A15" s="3" t="s">
        <v>6</v>
      </c>
      <c r="B15" s="3" t="s">
        <v>4</v>
      </c>
      <c r="C15" s="3">
        <v>50</v>
      </c>
      <c r="D15" s="3" t="s">
        <v>8</v>
      </c>
      <c r="E15" s="3">
        <v>1</v>
      </c>
      <c r="F15" s="3">
        <v>0.232063000032213</v>
      </c>
      <c r="I15" s="3" t="s">
        <v>6</v>
      </c>
      <c r="J15" s="3">
        <v>0.22010270803002599</v>
      </c>
      <c r="L15" s="3" t="s">
        <v>3</v>
      </c>
      <c r="M15" s="3">
        <v>0.18208858300931799</v>
      </c>
    </row>
    <row r="16" spans="1:16">
      <c r="A16" s="3" t="s">
        <v>6</v>
      </c>
      <c r="B16" s="3" t="s">
        <v>4</v>
      </c>
      <c r="C16" s="3">
        <v>100</v>
      </c>
      <c r="D16" s="3" t="s">
        <v>8</v>
      </c>
      <c r="E16" s="3">
        <v>1</v>
      </c>
      <c r="F16" s="3">
        <v>0.22438741702353601</v>
      </c>
      <c r="I16" s="3" t="s">
        <v>6</v>
      </c>
      <c r="J16" s="3">
        <v>0.232063000032213</v>
      </c>
      <c r="L16" s="3" t="s">
        <v>3</v>
      </c>
      <c r="M16" s="3">
        <v>0.12976037501357501</v>
      </c>
    </row>
    <row r="17" spans="1:13">
      <c r="A17" s="3" t="s">
        <v>6</v>
      </c>
      <c r="B17" s="3" t="s">
        <v>5</v>
      </c>
      <c r="C17" s="3">
        <v>50</v>
      </c>
      <c r="D17" s="3" t="s">
        <v>9</v>
      </c>
      <c r="E17" s="3">
        <v>1</v>
      </c>
      <c r="F17" s="3">
        <v>0.247282791999169</v>
      </c>
      <c r="I17" s="3" t="s">
        <v>6</v>
      </c>
      <c r="J17" s="3">
        <v>0.22438741702353601</v>
      </c>
      <c r="L17" s="3" t="s">
        <v>3</v>
      </c>
      <c r="M17" s="3">
        <v>0.15239883400499801</v>
      </c>
    </row>
    <row r="18" spans="1:13">
      <c r="A18" s="3" t="s">
        <v>6</v>
      </c>
      <c r="B18" s="3" t="s">
        <v>5</v>
      </c>
      <c r="C18" s="3">
        <v>100</v>
      </c>
      <c r="D18" s="3" t="s">
        <v>9</v>
      </c>
      <c r="E18" s="3">
        <v>1</v>
      </c>
      <c r="F18" s="3">
        <v>0.24895316699985401</v>
      </c>
      <c r="I18" s="3" t="s">
        <v>6</v>
      </c>
      <c r="J18" s="3">
        <v>0.247282791999169</v>
      </c>
      <c r="L18" s="3" t="s">
        <v>3</v>
      </c>
      <c r="M18" s="3">
        <v>0.219525833032094</v>
      </c>
    </row>
    <row r="19" spans="1:13">
      <c r="A19" s="3" t="s">
        <v>6</v>
      </c>
      <c r="B19" s="3" t="s">
        <v>5</v>
      </c>
      <c r="C19" s="3">
        <v>150</v>
      </c>
      <c r="D19" s="3" t="s">
        <v>9</v>
      </c>
      <c r="E19" s="3">
        <v>1</v>
      </c>
      <c r="F19" s="3">
        <v>0.14823941700160501</v>
      </c>
      <c r="I19" s="3" t="s">
        <v>6</v>
      </c>
      <c r="J19" s="3">
        <v>0.24895316699985401</v>
      </c>
      <c r="L19" s="3" t="s">
        <v>3</v>
      </c>
      <c r="M19" s="3">
        <v>9.8082249984145206E-2</v>
      </c>
    </row>
    <row r="20" spans="1:13">
      <c r="A20" s="3" t="s">
        <v>6</v>
      </c>
      <c r="B20" s="3" t="s">
        <v>4</v>
      </c>
      <c r="C20" s="3">
        <v>100</v>
      </c>
      <c r="D20" s="3" t="s">
        <v>8</v>
      </c>
      <c r="E20" s="3">
        <v>1</v>
      </c>
      <c r="F20" s="3">
        <v>0.24876420799410001</v>
      </c>
      <c r="I20" s="3" t="s">
        <v>6</v>
      </c>
      <c r="J20" s="3">
        <v>0.14823941700160501</v>
      </c>
      <c r="L20" s="3" t="s">
        <v>3</v>
      </c>
      <c r="M20" s="3">
        <v>9.9059165979269906E-2</v>
      </c>
    </row>
    <row r="21" spans="1:13">
      <c r="A21" s="3" t="s">
        <v>6</v>
      </c>
      <c r="B21" s="3" t="s">
        <v>4</v>
      </c>
      <c r="C21" s="3">
        <v>150</v>
      </c>
      <c r="D21" s="3" t="s">
        <v>8</v>
      </c>
      <c r="E21" s="3">
        <v>1</v>
      </c>
      <c r="F21" s="3">
        <v>0.13239962502848401</v>
      </c>
      <c r="I21" s="3" t="s">
        <v>6</v>
      </c>
      <c r="J21" s="3">
        <v>0.24876420799410001</v>
      </c>
      <c r="L21" s="3" t="s">
        <v>3</v>
      </c>
      <c r="M21" s="3">
        <v>0.100744082999881</v>
      </c>
    </row>
    <row r="22" spans="1:13">
      <c r="A22" s="3" t="s">
        <v>6</v>
      </c>
      <c r="B22" s="3" t="s">
        <v>5</v>
      </c>
      <c r="C22" s="3">
        <v>100</v>
      </c>
      <c r="D22" s="3" t="s">
        <v>9</v>
      </c>
      <c r="E22" s="3">
        <v>1</v>
      </c>
      <c r="F22" s="3">
        <v>0.14098612498492</v>
      </c>
      <c r="I22" s="3" t="s">
        <v>6</v>
      </c>
      <c r="J22" s="3">
        <v>0.13239962502848401</v>
      </c>
      <c r="L22" s="3" t="s">
        <v>3</v>
      </c>
      <c r="M22" s="3">
        <v>0.19811820902395999</v>
      </c>
    </row>
    <row r="23" spans="1:13">
      <c r="A23" s="3" t="s">
        <v>6</v>
      </c>
      <c r="B23" s="3" t="s">
        <v>5</v>
      </c>
      <c r="C23" s="3">
        <v>50</v>
      </c>
      <c r="D23" s="3" t="s">
        <v>9</v>
      </c>
      <c r="E23" s="3">
        <v>1</v>
      </c>
      <c r="F23" s="3">
        <v>0.201164541009348</v>
      </c>
      <c r="I23" s="3" t="s">
        <v>6</v>
      </c>
      <c r="J23" s="3">
        <v>0.14098612498492</v>
      </c>
      <c r="L23" s="3" t="s">
        <v>3</v>
      </c>
      <c r="M23" s="3">
        <v>0.17211891600163701</v>
      </c>
    </row>
    <row r="24" spans="1:13">
      <c r="A24" s="3" t="s">
        <v>6</v>
      </c>
      <c r="B24" s="3" t="s">
        <v>4</v>
      </c>
      <c r="C24" s="3">
        <v>150</v>
      </c>
      <c r="D24" s="3" t="s">
        <v>8</v>
      </c>
      <c r="E24" s="3">
        <v>1</v>
      </c>
      <c r="F24" s="3">
        <v>0.119345290993806</v>
      </c>
      <c r="I24" s="3" t="s">
        <v>6</v>
      </c>
      <c r="J24" s="3">
        <v>0.201164541009348</v>
      </c>
      <c r="L24" s="3" t="s">
        <v>3</v>
      </c>
      <c r="M24" s="3">
        <v>0.152524708013516</v>
      </c>
    </row>
    <row r="25" spans="1:13">
      <c r="A25" s="3" t="s">
        <v>6</v>
      </c>
      <c r="B25" s="3" t="s">
        <v>4</v>
      </c>
      <c r="C25" s="3">
        <v>100</v>
      </c>
      <c r="D25" s="3" t="s">
        <v>8</v>
      </c>
      <c r="E25" s="3">
        <v>1</v>
      </c>
      <c r="F25" s="3">
        <v>0.16586170898517599</v>
      </c>
      <c r="I25" s="3" t="s">
        <v>6</v>
      </c>
      <c r="J25" s="3">
        <v>0.119345290993806</v>
      </c>
      <c r="L25" s="3" t="s">
        <v>3</v>
      </c>
      <c r="M25" s="3">
        <v>0.123568000039086</v>
      </c>
    </row>
    <row r="26" spans="1:13">
      <c r="A26" s="3" t="s">
        <v>6</v>
      </c>
      <c r="B26" s="3" t="s">
        <v>4</v>
      </c>
      <c r="C26" s="3">
        <v>100</v>
      </c>
      <c r="D26" s="3" t="s">
        <v>8</v>
      </c>
      <c r="E26" s="3">
        <v>1</v>
      </c>
      <c r="F26" s="3">
        <v>0.187382792006247</v>
      </c>
      <c r="I26" s="3" t="s">
        <v>6</v>
      </c>
      <c r="J26" s="3">
        <v>0.16586170898517599</v>
      </c>
      <c r="L26" s="3" t="s">
        <v>3</v>
      </c>
      <c r="M26" s="3">
        <v>0.27599487494444502</v>
      </c>
    </row>
    <row r="27" spans="1:13">
      <c r="A27" s="3" t="s">
        <v>6</v>
      </c>
      <c r="B27" s="3" t="s">
        <v>5</v>
      </c>
      <c r="C27" s="3">
        <v>150</v>
      </c>
      <c r="D27" s="3" t="s">
        <v>9</v>
      </c>
      <c r="E27" s="3">
        <v>1</v>
      </c>
      <c r="F27" s="3">
        <v>6.8892750015947996E-2</v>
      </c>
      <c r="I27" s="3" t="s">
        <v>6</v>
      </c>
      <c r="J27" s="3">
        <v>0.187382792006247</v>
      </c>
      <c r="L27" s="3" t="s">
        <v>3</v>
      </c>
      <c r="M27" s="3">
        <v>0.16785125003661999</v>
      </c>
    </row>
    <row r="28" spans="1:13">
      <c r="A28" s="3" t="s">
        <v>6</v>
      </c>
      <c r="B28" s="3" t="s">
        <v>5</v>
      </c>
      <c r="C28" s="3">
        <v>150</v>
      </c>
      <c r="D28" s="3" t="s">
        <v>9</v>
      </c>
      <c r="E28" s="3">
        <v>1</v>
      </c>
      <c r="F28" s="3">
        <v>0.123941083031241</v>
      </c>
      <c r="I28" s="3" t="s">
        <v>6</v>
      </c>
      <c r="J28" s="3">
        <v>6.8892750015947996E-2</v>
      </c>
      <c r="L28" s="3" t="s">
        <v>3</v>
      </c>
      <c r="M28" s="3">
        <v>0.149907791987062</v>
      </c>
    </row>
    <row r="29" spans="1:13">
      <c r="A29" s="3" t="s">
        <v>6</v>
      </c>
      <c r="B29" s="3" t="s">
        <v>5</v>
      </c>
      <c r="C29" s="3">
        <v>50</v>
      </c>
      <c r="D29" s="3" t="s">
        <v>9</v>
      </c>
      <c r="E29" s="3">
        <v>1</v>
      </c>
      <c r="F29" s="3">
        <v>0.23149416700471201</v>
      </c>
      <c r="I29" s="3" t="s">
        <v>6</v>
      </c>
      <c r="J29" s="3">
        <v>0.123941083031241</v>
      </c>
      <c r="L29" s="3" t="s">
        <v>3</v>
      </c>
      <c r="M29" s="3">
        <v>0.26771054201526601</v>
      </c>
    </row>
    <row r="30" spans="1:13">
      <c r="A30" s="3" t="s">
        <v>6</v>
      </c>
      <c r="B30" s="3" t="s">
        <v>5</v>
      </c>
      <c r="C30" s="3">
        <v>150</v>
      </c>
      <c r="D30" s="3" t="s">
        <v>9</v>
      </c>
      <c r="E30" s="3">
        <v>1</v>
      </c>
      <c r="F30" s="3">
        <v>0.193611832975876</v>
      </c>
      <c r="I30" s="3" t="s">
        <v>6</v>
      </c>
      <c r="J30" s="3">
        <v>0.23149416700471201</v>
      </c>
      <c r="L30" s="3" t="s">
        <v>3</v>
      </c>
      <c r="M30" s="3">
        <v>0.201270249963272</v>
      </c>
    </row>
    <row r="31" spans="1:13">
      <c r="A31" s="3" t="s">
        <v>6</v>
      </c>
      <c r="B31" s="3" t="s">
        <v>5</v>
      </c>
      <c r="C31" s="3">
        <v>100</v>
      </c>
      <c r="D31" s="3" t="s">
        <v>9</v>
      </c>
      <c r="E31" s="3">
        <v>1</v>
      </c>
      <c r="F31" s="3">
        <v>0.15030974999535801</v>
      </c>
      <c r="I31" s="3" t="s">
        <v>6</v>
      </c>
      <c r="J31" s="3">
        <v>0.193611832975876</v>
      </c>
      <c r="L31" s="3" t="s">
        <v>3</v>
      </c>
      <c r="M31" s="3">
        <v>0.18238104204647199</v>
      </c>
    </row>
    <row r="32" spans="1:13">
      <c r="A32" s="3" t="s">
        <v>6</v>
      </c>
      <c r="B32" s="3" t="s">
        <v>4</v>
      </c>
      <c r="C32" s="3">
        <v>100</v>
      </c>
      <c r="D32" s="3" t="s">
        <v>8</v>
      </c>
      <c r="E32" s="3">
        <v>1</v>
      </c>
      <c r="F32" s="3">
        <v>0.12379229097859901</v>
      </c>
      <c r="I32" s="3" t="s">
        <v>6</v>
      </c>
      <c r="J32" s="3">
        <v>0.15030974999535801</v>
      </c>
      <c r="L32" s="3" t="s">
        <v>3</v>
      </c>
      <c r="M32" s="3">
        <v>0.185441542009357</v>
      </c>
    </row>
    <row r="33" spans="1:13">
      <c r="A33" s="3" t="s">
        <v>6</v>
      </c>
      <c r="B33" s="3" t="s">
        <v>4</v>
      </c>
      <c r="C33" s="3">
        <v>150</v>
      </c>
      <c r="D33" s="3" t="s">
        <v>8</v>
      </c>
      <c r="E33" s="3">
        <v>1</v>
      </c>
      <c r="F33" s="3">
        <v>0.136941250006203</v>
      </c>
      <c r="I33" s="3" t="s">
        <v>6</v>
      </c>
      <c r="J33" s="3">
        <v>0.12379229097859901</v>
      </c>
      <c r="L33" s="3" t="s">
        <v>3</v>
      </c>
      <c r="M33" s="3">
        <v>9.0320750023238403E-2</v>
      </c>
    </row>
    <row r="34" spans="1:13">
      <c r="A34" s="3" t="s">
        <v>6</v>
      </c>
      <c r="B34" s="3" t="s">
        <v>4</v>
      </c>
      <c r="C34" s="3">
        <v>100</v>
      </c>
      <c r="D34" s="3" t="s">
        <v>8</v>
      </c>
      <c r="E34" s="3">
        <v>1</v>
      </c>
      <c r="F34" s="3">
        <v>0.21858445799443901</v>
      </c>
      <c r="I34" s="3" t="s">
        <v>6</v>
      </c>
      <c r="J34" s="3">
        <v>0.136941250006203</v>
      </c>
      <c r="L34" s="3" t="s">
        <v>3</v>
      </c>
      <c r="M34" s="3">
        <v>0.107934542000294</v>
      </c>
    </row>
    <row r="35" spans="1:13">
      <c r="A35" s="3" t="s">
        <v>6</v>
      </c>
      <c r="B35" s="3" t="s">
        <v>4</v>
      </c>
      <c r="C35" s="3">
        <v>150</v>
      </c>
      <c r="D35" s="3" t="s">
        <v>8</v>
      </c>
      <c r="E35" s="3">
        <v>1</v>
      </c>
      <c r="F35" s="3">
        <v>0.180358625017107</v>
      </c>
      <c r="I35" s="3" t="s">
        <v>6</v>
      </c>
      <c r="J35" s="3">
        <v>0.21858445799443901</v>
      </c>
      <c r="L35" s="3" t="s">
        <v>3</v>
      </c>
      <c r="M35" s="3">
        <v>0.17159983300371101</v>
      </c>
    </row>
    <row r="36" spans="1:13">
      <c r="A36" s="3" t="s">
        <v>6</v>
      </c>
      <c r="B36" s="3" t="s">
        <v>5</v>
      </c>
      <c r="C36" s="3">
        <v>100</v>
      </c>
      <c r="D36" s="3" t="s">
        <v>9</v>
      </c>
      <c r="E36" s="3">
        <v>1</v>
      </c>
      <c r="F36" s="3">
        <v>0.18381862499518301</v>
      </c>
      <c r="I36" s="3" t="s">
        <v>6</v>
      </c>
      <c r="J36" s="3">
        <v>0.180358625017107</v>
      </c>
      <c r="L36" s="3" t="s">
        <v>3</v>
      </c>
      <c r="M36" s="3">
        <v>0.14312037505442299</v>
      </c>
    </row>
    <row r="37" spans="1:13">
      <c r="A37" s="3" t="s">
        <v>6</v>
      </c>
      <c r="B37" s="3" t="s">
        <v>4</v>
      </c>
      <c r="C37" s="3">
        <v>150</v>
      </c>
      <c r="D37" s="3" t="s">
        <v>8</v>
      </c>
      <c r="E37" s="3">
        <v>1</v>
      </c>
      <c r="F37" s="3">
        <v>0.15781170799164099</v>
      </c>
      <c r="I37" s="3" t="s">
        <v>6</v>
      </c>
      <c r="J37" s="3">
        <v>0.18381862499518301</v>
      </c>
      <c r="L37" s="3" t="s">
        <v>3</v>
      </c>
      <c r="M37" s="3">
        <v>0.164354541979264</v>
      </c>
    </row>
    <row r="38" spans="1:13">
      <c r="A38" s="3" t="s">
        <v>6</v>
      </c>
      <c r="B38" s="3" t="s">
        <v>4</v>
      </c>
      <c r="C38" s="3">
        <v>50</v>
      </c>
      <c r="D38" s="3" t="s">
        <v>8</v>
      </c>
      <c r="E38" s="3">
        <v>1</v>
      </c>
      <c r="F38" s="3">
        <v>0.19481891702162099</v>
      </c>
      <c r="I38" s="3" t="s">
        <v>6</v>
      </c>
      <c r="J38" s="3">
        <v>0.15781170799164099</v>
      </c>
      <c r="L38" s="3" t="s">
        <v>3</v>
      </c>
      <c r="M38" s="3">
        <v>0.174305625027046</v>
      </c>
    </row>
    <row r="39" spans="1:13">
      <c r="A39" s="3" t="s">
        <v>6</v>
      </c>
      <c r="B39" s="3" t="s">
        <v>5</v>
      </c>
      <c r="C39" s="3">
        <v>150</v>
      </c>
      <c r="D39" s="3" t="s">
        <v>9</v>
      </c>
      <c r="E39" s="3">
        <v>1</v>
      </c>
      <c r="F39" s="3">
        <v>0.119584166037384</v>
      </c>
      <c r="I39" s="3" t="s">
        <v>6</v>
      </c>
      <c r="J39" s="3">
        <v>0.19481891702162099</v>
      </c>
      <c r="L39" s="3" t="s">
        <v>3</v>
      </c>
      <c r="M39" s="3">
        <v>2.47918750392273E-2</v>
      </c>
    </row>
    <row r="40" spans="1:13">
      <c r="A40" s="3" t="s">
        <v>6</v>
      </c>
      <c r="B40" s="3" t="s">
        <v>5</v>
      </c>
      <c r="C40" s="3">
        <v>150</v>
      </c>
      <c r="D40" s="3" t="s">
        <v>9</v>
      </c>
      <c r="E40" s="3">
        <v>1</v>
      </c>
      <c r="F40" s="3">
        <v>0.16220491699641601</v>
      </c>
      <c r="I40" s="3" t="s">
        <v>6</v>
      </c>
      <c r="J40" s="3">
        <v>0.119584166037384</v>
      </c>
      <c r="L40" s="3" t="s">
        <v>3</v>
      </c>
      <c r="M40" s="3">
        <v>0.114755416987464</v>
      </c>
    </row>
    <row r="41" spans="1:13">
      <c r="A41" s="3" t="s">
        <v>6</v>
      </c>
      <c r="B41" s="3" t="s">
        <v>5</v>
      </c>
      <c r="C41" s="3">
        <v>100</v>
      </c>
      <c r="D41" s="3" t="s">
        <v>9</v>
      </c>
      <c r="E41" s="3">
        <v>1</v>
      </c>
      <c r="F41" s="3">
        <v>0.18456816696561901</v>
      </c>
      <c r="I41" s="3" t="s">
        <v>6</v>
      </c>
      <c r="J41" s="3">
        <v>0.16220491699641601</v>
      </c>
      <c r="L41" s="3" t="s">
        <v>3</v>
      </c>
      <c r="M41" s="3">
        <v>0.10580275004031101</v>
      </c>
    </row>
    <row r="42" spans="1:13">
      <c r="A42" s="3" t="s">
        <v>6</v>
      </c>
      <c r="B42" s="3" t="s">
        <v>4</v>
      </c>
      <c r="C42" s="3">
        <v>100</v>
      </c>
      <c r="D42" s="3" t="s">
        <v>8</v>
      </c>
      <c r="E42" s="3">
        <v>1</v>
      </c>
      <c r="F42" s="3">
        <v>6.7404832981992499E-2</v>
      </c>
      <c r="I42" s="3" t="s">
        <v>6</v>
      </c>
      <c r="J42" s="3">
        <v>0.18456816696561901</v>
      </c>
      <c r="L42" s="3" t="s">
        <v>3</v>
      </c>
      <c r="M42" s="3">
        <v>0.111300083983224</v>
      </c>
    </row>
    <row r="43" spans="1:13">
      <c r="A43" s="3" t="s">
        <v>6</v>
      </c>
      <c r="B43" s="3" t="s">
        <v>5</v>
      </c>
      <c r="C43" s="3">
        <v>50</v>
      </c>
      <c r="D43" s="3" t="s">
        <v>9</v>
      </c>
      <c r="E43" s="3">
        <v>1</v>
      </c>
      <c r="F43" s="3">
        <v>0.17925208300584899</v>
      </c>
      <c r="I43" s="3" t="s">
        <v>6</v>
      </c>
      <c r="J43" s="3">
        <v>6.7404832981992499E-2</v>
      </c>
      <c r="L43" s="3" t="s">
        <v>3</v>
      </c>
      <c r="M43" s="3">
        <v>0.13618562498595599</v>
      </c>
    </row>
    <row r="44" spans="1:13">
      <c r="A44" s="3" t="s">
        <v>6</v>
      </c>
      <c r="B44" s="3" t="s">
        <v>5</v>
      </c>
      <c r="C44" s="3">
        <v>150</v>
      </c>
      <c r="D44" s="3" t="s">
        <v>9</v>
      </c>
      <c r="E44" s="3">
        <v>1</v>
      </c>
      <c r="F44" s="3">
        <v>0.18165466701611899</v>
      </c>
      <c r="I44" s="3" t="s">
        <v>6</v>
      </c>
      <c r="J44" s="3">
        <v>0.17925208300584899</v>
      </c>
      <c r="L44" s="3" t="s">
        <v>3</v>
      </c>
      <c r="M44" s="3">
        <v>0.188037290994544</v>
      </c>
    </row>
    <row r="45" spans="1:13">
      <c r="A45" s="3" t="s">
        <v>6</v>
      </c>
      <c r="B45" s="3" t="s">
        <v>4</v>
      </c>
      <c r="C45" s="3">
        <v>150</v>
      </c>
      <c r="D45" s="3" t="s">
        <v>8</v>
      </c>
      <c r="E45" s="3">
        <v>1</v>
      </c>
      <c r="F45" s="3">
        <v>7.6066584035288501E-2</v>
      </c>
      <c r="I45" s="3" t="s">
        <v>6</v>
      </c>
      <c r="J45" s="3">
        <v>0.18165466701611899</v>
      </c>
      <c r="L45" s="3" t="s">
        <v>3</v>
      </c>
      <c r="M45" s="3">
        <v>8.9704875019379002E-2</v>
      </c>
    </row>
    <row r="46" spans="1:13">
      <c r="A46" s="3" t="s">
        <v>6</v>
      </c>
      <c r="B46" s="3" t="s">
        <v>5</v>
      </c>
      <c r="C46" s="3">
        <v>100</v>
      </c>
      <c r="D46" s="3" t="s">
        <v>9</v>
      </c>
      <c r="E46" s="3">
        <v>1</v>
      </c>
      <c r="F46" s="3">
        <v>0.128495042037684</v>
      </c>
      <c r="I46" s="3" t="s">
        <v>6</v>
      </c>
      <c r="J46" s="3">
        <v>7.6066584035288501E-2</v>
      </c>
      <c r="L46" s="3" t="s">
        <v>3</v>
      </c>
      <c r="M46" s="3">
        <v>0.18551104201469601</v>
      </c>
    </row>
    <row r="47" spans="1:13">
      <c r="A47" s="3" t="s">
        <v>6</v>
      </c>
      <c r="B47" s="3" t="s">
        <v>4</v>
      </c>
      <c r="C47" s="3">
        <v>150</v>
      </c>
      <c r="D47" s="3" t="s">
        <v>8</v>
      </c>
      <c r="E47" s="3">
        <v>1</v>
      </c>
      <c r="F47" s="3">
        <v>0.107406958006322</v>
      </c>
      <c r="I47" s="3" t="s">
        <v>6</v>
      </c>
      <c r="J47" s="3">
        <v>0.128495042037684</v>
      </c>
      <c r="L47" s="3" t="s">
        <v>3</v>
      </c>
      <c r="M47" s="3">
        <v>5.3334833995904801E-2</v>
      </c>
    </row>
    <row r="48" spans="1:13">
      <c r="A48" s="3" t="s">
        <v>6</v>
      </c>
      <c r="B48" s="3" t="s">
        <v>4</v>
      </c>
      <c r="C48" s="3">
        <v>150</v>
      </c>
      <c r="D48" s="3" t="s">
        <v>8</v>
      </c>
      <c r="E48" s="3">
        <v>1</v>
      </c>
      <c r="F48" s="3">
        <v>0.130529791989829</v>
      </c>
      <c r="I48" s="3" t="s">
        <v>6</v>
      </c>
      <c r="J48" s="3">
        <v>0.107406958006322</v>
      </c>
      <c r="L48" s="3" t="s">
        <v>3</v>
      </c>
      <c r="M48" s="3">
        <v>0.11397679202491399</v>
      </c>
    </row>
    <row r="49" spans="1:13">
      <c r="A49" s="3" t="s">
        <v>6</v>
      </c>
      <c r="B49" s="3" t="s">
        <v>4</v>
      </c>
      <c r="C49" s="3">
        <v>50</v>
      </c>
      <c r="D49" s="3" t="s">
        <v>8</v>
      </c>
      <c r="E49" s="3">
        <v>1</v>
      </c>
      <c r="F49" s="3">
        <v>0.179517832992133</v>
      </c>
      <c r="I49" s="3" t="s">
        <v>6</v>
      </c>
      <c r="J49" s="3">
        <v>0.130529791989829</v>
      </c>
      <c r="L49" s="3" t="s">
        <v>3</v>
      </c>
      <c r="M49" s="3">
        <v>0.13396516599459601</v>
      </c>
    </row>
    <row r="50" spans="1:13">
      <c r="A50" s="3" t="s">
        <v>6</v>
      </c>
      <c r="B50" s="3" t="s">
        <v>4</v>
      </c>
      <c r="C50" s="3">
        <v>100</v>
      </c>
      <c r="D50" s="3" t="s">
        <v>8</v>
      </c>
      <c r="E50" s="3">
        <v>1</v>
      </c>
      <c r="F50" s="3">
        <v>0.15197445900412301</v>
      </c>
      <c r="I50" s="3" t="s">
        <v>6</v>
      </c>
      <c r="J50" s="3">
        <v>0.179517832992133</v>
      </c>
      <c r="L50" s="3" t="s">
        <v>3</v>
      </c>
      <c r="M50" s="3">
        <v>0.118424292013515</v>
      </c>
    </row>
    <row r="51" spans="1:13">
      <c r="A51" s="3" t="s">
        <v>3</v>
      </c>
      <c r="B51" s="3" t="s">
        <v>4</v>
      </c>
      <c r="C51" s="3">
        <v>50</v>
      </c>
      <c r="D51" s="3" t="s">
        <v>8</v>
      </c>
      <c r="E51" s="3">
        <v>1</v>
      </c>
      <c r="F51" s="3">
        <v>0.22229683399200401</v>
      </c>
      <c r="I51" s="3" t="s">
        <v>6</v>
      </c>
      <c r="J51" s="3">
        <v>0.15197445900412301</v>
      </c>
      <c r="L51" s="3" t="s">
        <v>3</v>
      </c>
      <c r="M51" s="3">
        <v>0.18294545903336301</v>
      </c>
    </row>
    <row r="52" spans="1:13">
      <c r="A52" s="3" t="s">
        <v>3</v>
      </c>
      <c r="B52" s="3" t="s">
        <v>4</v>
      </c>
      <c r="C52" s="3">
        <v>50</v>
      </c>
      <c r="D52" s="3" t="s">
        <v>8</v>
      </c>
      <c r="E52" s="3">
        <v>1</v>
      </c>
      <c r="F52" s="3">
        <v>0.18264000001363501</v>
      </c>
      <c r="I52" s="3" t="s">
        <v>12</v>
      </c>
      <c r="J52">
        <f>AVERAGE(J4:J51)</f>
        <v>0.17672549823328157</v>
      </c>
      <c r="L52" s="3" t="s">
        <v>12</v>
      </c>
      <c r="M52">
        <f>AVERAGE(M4:M51)</f>
        <v>0.15401257384049438</v>
      </c>
    </row>
    <row r="53" spans="1:13">
      <c r="A53" s="3" t="s">
        <v>3</v>
      </c>
      <c r="B53" s="3" t="s">
        <v>4</v>
      </c>
      <c r="C53" s="3">
        <v>50</v>
      </c>
      <c r="D53" s="3" t="s">
        <v>8</v>
      </c>
      <c r="E53" s="3">
        <v>1</v>
      </c>
      <c r="F53" s="3">
        <v>0.21021237497916401</v>
      </c>
    </row>
    <row r="54" spans="1:13">
      <c r="A54" s="3" t="s">
        <v>3</v>
      </c>
      <c r="B54" s="3" t="s">
        <v>5</v>
      </c>
      <c r="C54" s="3">
        <v>50</v>
      </c>
      <c r="D54" s="3" t="s">
        <v>9</v>
      </c>
      <c r="E54" s="3">
        <v>1</v>
      </c>
      <c r="F54" s="3">
        <v>0.216558624990284</v>
      </c>
      <c r="H54" s="3" t="s">
        <v>17</v>
      </c>
      <c r="I54" t="s">
        <v>14</v>
      </c>
      <c r="J54" t="s">
        <v>15</v>
      </c>
    </row>
    <row r="55" spans="1:13" ht="18">
      <c r="A55" s="3" t="s">
        <v>3</v>
      </c>
      <c r="B55" s="3" t="s">
        <v>4</v>
      </c>
      <c r="C55" s="3">
        <v>50</v>
      </c>
      <c r="D55" s="3" t="s">
        <v>8</v>
      </c>
      <c r="E55" s="3">
        <v>1</v>
      </c>
      <c r="F55" s="3">
        <v>0.18968379200669</v>
      </c>
      <c r="H55" s="3">
        <v>50</v>
      </c>
      <c r="I55" s="7">
        <f>AVERAGEIFS(F:F, A:A,"valid", C:C,50)</f>
        <v>0.1951839445724286</v>
      </c>
      <c r="J55" s="7">
        <f>AVERAGEIFS(F:F, A:A,"invalid", C:C,50)</f>
        <v>0.23922829154815364</v>
      </c>
    </row>
    <row r="56" spans="1:13" ht="18">
      <c r="A56" s="3" t="s">
        <v>3</v>
      </c>
      <c r="B56" s="3" t="s">
        <v>5</v>
      </c>
      <c r="C56" s="3">
        <v>150</v>
      </c>
      <c r="D56" s="3" t="s">
        <v>9</v>
      </c>
      <c r="E56" s="3">
        <v>1</v>
      </c>
      <c r="F56" s="3">
        <v>0.113058541028295</v>
      </c>
      <c r="H56" s="3">
        <v>100</v>
      </c>
      <c r="I56" s="7">
        <f>AVERAGEIFS(F:F, A:A,"valid", C:C,100)</f>
        <v>0.13805333063646696</v>
      </c>
      <c r="J56" s="7">
        <f>AVERAGEIFS(F:F, A:A,"invalid", C:C,100)</f>
        <v>0.169065854188375</v>
      </c>
    </row>
    <row r="57" spans="1:13" ht="18">
      <c r="A57" s="3" t="s">
        <v>3</v>
      </c>
      <c r="B57" s="3" t="s">
        <v>4</v>
      </c>
      <c r="C57" s="3">
        <v>50</v>
      </c>
      <c r="D57" s="3" t="s">
        <v>8</v>
      </c>
      <c r="E57" s="3">
        <v>1</v>
      </c>
      <c r="F57" s="3">
        <v>0.15528687497135299</v>
      </c>
      <c r="H57" s="3">
        <v>150</v>
      </c>
      <c r="I57" s="7">
        <f>AVERAGEIFS(F:F, A:A,"valid", C:C,150)</f>
        <v>9.8626128921750933E-2</v>
      </c>
      <c r="J57" s="7">
        <f>AVERAGEIFS(F:F, A:A,"invalid", C:C,150)</f>
        <v>0.14982185910256321</v>
      </c>
    </row>
    <row r="58" spans="1:13">
      <c r="A58" s="3" t="s">
        <v>3</v>
      </c>
      <c r="B58" s="3" t="s">
        <v>5</v>
      </c>
      <c r="C58" s="3">
        <v>100</v>
      </c>
      <c r="D58" s="3" t="s">
        <v>9</v>
      </c>
      <c r="E58" s="3">
        <v>1</v>
      </c>
      <c r="F58" s="3">
        <v>0.116131999995559</v>
      </c>
    </row>
    <row r="59" spans="1:13">
      <c r="A59" s="3" t="s">
        <v>3</v>
      </c>
      <c r="B59" s="3" t="s">
        <v>5</v>
      </c>
      <c r="C59" s="3">
        <v>150</v>
      </c>
      <c r="D59" s="3" t="s">
        <v>9</v>
      </c>
      <c r="E59" s="3">
        <v>1</v>
      </c>
      <c r="F59" s="3">
        <v>0.14839154202491001</v>
      </c>
    </row>
    <row r="60" spans="1:13">
      <c r="A60" s="3" t="s">
        <v>3</v>
      </c>
      <c r="B60" s="3" t="s">
        <v>5</v>
      </c>
      <c r="C60" s="3">
        <v>50</v>
      </c>
      <c r="D60" s="3" t="s">
        <v>9</v>
      </c>
      <c r="E60" s="3">
        <v>1</v>
      </c>
      <c r="F60" s="3">
        <v>0.17933625000296199</v>
      </c>
    </row>
    <row r="61" spans="1:13">
      <c r="A61" s="3" t="s">
        <v>3</v>
      </c>
      <c r="B61" s="3" t="s">
        <v>4</v>
      </c>
      <c r="C61" s="3">
        <v>100</v>
      </c>
      <c r="D61" s="3" t="s">
        <v>8</v>
      </c>
      <c r="E61" s="3">
        <v>1</v>
      </c>
      <c r="F61" s="3">
        <v>0.19008929101983099</v>
      </c>
    </row>
    <row r="62" spans="1:13">
      <c r="A62" s="3" t="s">
        <v>3</v>
      </c>
      <c r="B62" s="3" t="s">
        <v>4</v>
      </c>
      <c r="C62" s="3">
        <v>50</v>
      </c>
      <c r="D62" s="3" t="s">
        <v>8</v>
      </c>
      <c r="E62" s="3">
        <v>1</v>
      </c>
      <c r="F62" s="3">
        <v>0.18208858300931799</v>
      </c>
    </row>
    <row r="63" spans="1:13">
      <c r="A63" s="3" t="s">
        <v>3</v>
      </c>
      <c r="B63" s="3" t="s">
        <v>4</v>
      </c>
      <c r="C63" s="3">
        <v>100</v>
      </c>
      <c r="D63" s="3" t="s">
        <v>8</v>
      </c>
      <c r="E63" s="3">
        <v>1</v>
      </c>
      <c r="F63" s="3">
        <v>0.12976037501357501</v>
      </c>
    </row>
    <row r="64" spans="1:13">
      <c r="A64" s="3" t="s">
        <v>3</v>
      </c>
      <c r="B64" s="3" t="s">
        <v>4</v>
      </c>
      <c r="C64" s="3">
        <v>50</v>
      </c>
      <c r="D64" s="3" t="s">
        <v>8</v>
      </c>
      <c r="E64" s="3">
        <v>1</v>
      </c>
      <c r="F64" s="3">
        <v>0.15239883400499801</v>
      </c>
    </row>
    <row r="65" spans="1:6">
      <c r="A65" s="3" t="s">
        <v>3</v>
      </c>
      <c r="B65" s="3" t="s">
        <v>5</v>
      </c>
      <c r="C65" s="3">
        <v>50</v>
      </c>
      <c r="D65" s="3" t="s">
        <v>9</v>
      </c>
      <c r="E65" s="3">
        <v>1</v>
      </c>
      <c r="F65" s="3">
        <v>0.219525833032094</v>
      </c>
    </row>
    <row r="66" spans="1:6">
      <c r="A66" s="3" t="s">
        <v>3</v>
      </c>
      <c r="B66" s="3" t="s">
        <v>5</v>
      </c>
      <c r="C66" s="3">
        <v>150</v>
      </c>
      <c r="D66" s="3" t="s">
        <v>9</v>
      </c>
      <c r="E66" s="3">
        <v>1</v>
      </c>
      <c r="F66" s="3">
        <v>9.8082249984145206E-2</v>
      </c>
    </row>
    <row r="67" spans="1:6">
      <c r="A67" s="3" t="s">
        <v>3</v>
      </c>
      <c r="B67" s="3" t="s">
        <v>4</v>
      </c>
      <c r="C67" s="3">
        <v>100</v>
      </c>
      <c r="D67" s="3" t="s">
        <v>8</v>
      </c>
      <c r="E67" s="3">
        <v>1</v>
      </c>
      <c r="F67" s="3">
        <v>9.9059165979269906E-2</v>
      </c>
    </row>
    <row r="68" spans="1:6">
      <c r="A68" s="3" t="s">
        <v>3</v>
      </c>
      <c r="B68" s="3" t="s">
        <v>4</v>
      </c>
      <c r="C68" s="3">
        <v>150</v>
      </c>
      <c r="D68" s="3" t="s">
        <v>8</v>
      </c>
      <c r="E68" s="3">
        <v>1</v>
      </c>
      <c r="F68" s="3">
        <v>0.100744082999881</v>
      </c>
    </row>
    <row r="69" spans="1:6">
      <c r="A69" s="3" t="s">
        <v>3</v>
      </c>
      <c r="B69" s="3" t="s">
        <v>5</v>
      </c>
      <c r="C69" s="3">
        <v>50</v>
      </c>
      <c r="D69" s="3" t="s">
        <v>9</v>
      </c>
      <c r="E69" s="3">
        <v>1</v>
      </c>
      <c r="F69" s="3">
        <v>0.19811820902395999</v>
      </c>
    </row>
    <row r="70" spans="1:6">
      <c r="A70" s="3" t="s">
        <v>3</v>
      </c>
      <c r="B70" s="3" t="s">
        <v>5</v>
      </c>
      <c r="C70" s="3">
        <v>100</v>
      </c>
      <c r="D70" s="3" t="s">
        <v>9</v>
      </c>
      <c r="E70" s="3">
        <v>1</v>
      </c>
      <c r="F70" s="3">
        <v>0.17211891600163701</v>
      </c>
    </row>
    <row r="71" spans="1:6">
      <c r="A71" s="3" t="s">
        <v>3</v>
      </c>
      <c r="B71" s="3" t="s">
        <v>5</v>
      </c>
      <c r="C71" s="3">
        <v>100</v>
      </c>
      <c r="D71" s="3" t="s">
        <v>9</v>
      </c>
      <c r="E71" s="3">
        <v>1</v>
      </c>
      <c r="F71" s="3">
        <v>0.152524708013516</v>
      </c>
    </row>
    <row r="72" spans="1:6">
      <c r="A72" s="3" t="s">
        <v>3</v>
      </c>
      <c r="B72" s="3" t="s">
        <v>4</v>
      </c>
      <c r="C72" s="3">
        <v>150</v>
      </c>
      <c r="D72" s="3" t="s">
        <v>8</v>
      </c>
      <c r="E72" s="3">
        <v>1</v>
      </c>
      <c r="F72" s="3">
        <v>0.123568000039086</v>
      </c>
    </row>
    <row r="73" spans="1:6">
      <c r="A73" s="3" t="s">
        <v>3</v>
      </c>
      <c r="B73" s="3" t="s">
        <v>4</v>
      </c>
      <c r="C73" s="3">
        <v>50</v>
      </c>
      <c r="D73" s="3" t="s">
        <v>8</v>
      </c>
      <c r="E73" s="3">
        <v>1</v>
      </c>
      <c r="F73" s="3">
        <v>0.27599487494444502</v>
      </c>
    </row>
    <row r="74" spans="1:6">
      <c r="A74" s="3" t="s">
        <v>3</v>
      </c>
      <c r="B74" s="3" t="s">
        <v>5</v>
      </c>
      <c r="C74" s="3">
        <v>50</v>
      </c>
      <c r="D74" s="3" t="s">
        <v>9</v>
      </c>
      <c r="E74" s="3">
        <v>1</v>
      </c>
      <c r="F74" s="3">
        <v>0.16785125003661999</v>
      </c>
    </row>
    <row r="75" spans="1:6">
      <c r="A75" s="3" t="s">
        <v>3</v>
      </c>
      <c r="B75" s="3" t="s">
        <v>4</v>
      </c>
      <c r="C75" s="3">
        <v>100</v>
      </c>
      <c r="D75" s="3" t="s">
        <v>8</v>
      </c>
      <c r="E75" s="3">
        <v>1</v>
      </c>
      <c r="F75" s="3">
        <v>0.149907791987062</v>
      </c>
    </row>
    <row r="76" spans="1:6">
      <c r="A76" s="3" t="s">
        <v>3</v>
      </c>
      <c r="B76" s="3" t="s">
        <v>4</v>
      </c>
      <c r="C76" s="3">
        <v>50</v>
      </c>
      <c r="D76" s="3" t="s">
        <v>8</v>
      </c>
      <c r="E76" s="3">
        <v>1</v>
      </c>
      <c r="F76" s="3">
        <v>0.26771054201526601</v>
      </c>
    </row>
    <row r="77" spans="1:6">
      <c r="A77" s="3" t="s">
        <v>3</v>
      </c>
      <c r="B77" s="3" t="s">
        <v>4</v>
      </c>
      <c r="C77" s="3">
        <v>50</v>
      </c>
      <c r="D77" s="3" t="s">
        <v>8</v>
      </c>
      <c r="E77" s="3">
        <v>1</v>
      </c>
      <c r="F77" s="3">
        <v>0.201270249963272</v>
      </c>
    </row>
    <row r="78" spans="1:6">
      <c r="A78" s="3" t="s">
        <v>3</v>
      </c>
      <c r="B78" s="3" t="s">
        <v>4</v>
      </c>
      <c r="C78" s="3">
        <v>100</v>
      </c>
      <c r="D78" s="3" t="s">
        <v>8</v>
      </c>
      <c r="E78" s="3">
        <v>1</v>
      </c>
      <c r="F78" s="3">
        <v>0.18238104204647199</v>
      </c>
    </row>
    <row r="79" spans="1:6">
      <c r="A79" s="3" t="s">
        <v>3</v>
      </c>
      <c r="B79" s="3" t="s">
        <v>5</v>
      </c>
      <c r="C79" s="3">
        <v>50</v>
      </c>
      <c r="D79" s="3" t="s">
        <v>9</v>
      </c>
      <c r="E79" s="3">
        <v>1</v>
      </c>
      <c r="F79" s="3">
        <v>0.185441542009357</v>
      </c>
    </row>
    <row r="80" spans="1:6">
      <c r="A80" s="3" t="s">
        <v>3</v>
      </c>
      <c r="B80" s="3" t="s">
        <v>4</v>
      </c>
      <c r="C80" s="3">
        <v>100</v>
      </c>
      <c r="D80" s="3" t="s">
        <v>8</v>
      </c>
      <c r="E80" s="3">
        <v>1</v>
      </c>
      <c r="F80" s="3">
        <v>9.0320750023238403E-2</v>
      </c>
    </row>
    <row r="81" spans="1:6">
      <c r="A81" s="3" t="s">
        <v>3</v>
      </c>
      <c r="B81" s="3" t="s">
        <v>5</v>
      </c>
      <c r="C81" s="3">
        <v>150</v>
      </c>
      <c r="D81" s="3" t="s">
        <v>9</v>
      </c>
      <c r="E81" s="3">
        <v>1</v>
      </c>
      <c r="F81" s="3">
        <v>0.107934542000294</v>
      </c>
    </row>
    <row r="82" spans="1:6">
      <c r="A82" s="3" t="s">
        <v>3</v>
      </c>
      <c r="B82" s="3" t="s">
        <v>5</v>
      </c>
      <c r="C82" s="3">
        <v>50</v>
      </c>
      <c r="D82" s="3" t="s">
        <v>9</v>
      </c>
      <c r="E82" s="3">
        <v>1</v>
      </c>
      <c r="F82" s="3">
        <v>0.17159983300371101</v>
      </c>
    </row>
    <row r="83" spans="1:6">
      <c r="A83" s="3" t="s">
        <v>3</v>
      </c>
      <c r="B83" s="3" t="s">
        <v>5</v>
      </c>
      <c r="C83" s="3">
        <v>100</v>
      </c>
      <c r="D83" s="3" t="s">
        <v>9</v>
      </c>
      <c r="E83" s="3">
        <v>1</v>
      </c>
      <c r="F83" s="3">
        <v>0.14312037505442299</v>
      </c>
    </row>
    <row r="84" spans="1:6">
      <c r="A84" s="3" t="s">
        <v>3</v>
      </c>
      <c r="B84" s="3" t="s">
        <v>4</v>
      </c>
      <c r="C84" s="3">
        <v>50</v>
      </c>
      <c r="D84" s="3" t="s">
        <v>8</v>
      </c>
      <c r="E84" s="3">
        <v>1</v>
      </c>
      <c r="F84" s="3">
        <v>0.164354541979264</v>
      </c>
    </row>
    <row r="85" spans="1:6">
      <c r="A85" s="3" t="s">
        <v>3</v>
      </c>
      <c r="B85" s="3" t="s">
        <v>5</v>
      </c>
      <c r="C85" s="3">
        <v>100</v>
      </c>
      <c r="D85" s="3" t="s">
        <v>9</v>
      </c>
      <c r="E85" s="3">
        <v>1</v>
      </c>
      <c r="F85" s="3">
        <v>0.174305625027046</v>
      </c>
    </row>
    <row r="86" spans="1:6">
      <c r="A86" s="3" t="s">
        <v>3</v>
      </c>
      <c r="B86" s="3" t="s">
        <v>4</v>
      </c>
      <c r="C86" s="3">
        <v>150</v>
      </c>
      <c r="D86" s="3" t="s">
        <v>8</v>
      </c>
      <c r="E86" s="3">
        <v>1</v>
      </c>
      <c r="F86" s="3">
        <v>2.47918750392273E-2</v>
      </c>
    </row>
    <row r="87" spans="1:6">
      <c r="A87" s="3" t="s">
        <v>3</v>
      </c>
      <c r="B87" s="3" t="s">
        <v>5</v>
      </c>
      <c r="C87" s="3">
        <v>100</v>
      </c>
      <c r="D87" s="3" t="s">
        <v>9</v>
      </c>
      <c r="E87" s="3">
        <v>1</v>
      </c>
      <c r="F87" s="3">
        <v>0.114755416987464</v>
      </c>
    </row>
    <row r="88" spans="1:6">
      <c r="A88" s="3" t="s">
        <v>3</v>
      </c>
      <c r="B88" s="3" t="s">
        <v>5</v>
      </c>
      <c r="C88" s="3">
        <v>100</v>
      </c>
      <c r="D88" s="3" t="s">
        <v>9</v>
      </c>
      <c r="E88" s="3">
        <v>1</v>
      </c>
      <c r="F88" s="3">
        <v>0.10580275004031101</v>
      </c>
    </row>
    <row r="89" spans="1:6">
      <c r="A89" s="3" t="s">
        <v>3</v>
      </c>
      <c r="B89" s="3" t="s">
        <v>4</v>
      </c>
      <c r="C89" s="3">
        <v>150</v>
      </c>
      <c r="D89" s="3" t="s">
        <v>8</v>
      </c>
      <c r="E89" s="3">
        <v>1</v>
      </c>
      <c r="F89" s="3">
        <v>0.111300083983224</v>
      </c>
    </row>
    <row r="90" spans="1:6">
      <c r="A90" s="3" t="s">
        <v>3</v>
      </c>
      <c r="B90" s="3" t="s">
        <v>5</v>
      </c>
      <c r="C90" s="3">
        <v>100</v>
      </c>
      <c r="D90" s="3" t="s">
        <v>9</v>
      </c>
      <c r="E90" s="3">
        <v>1</v>
      </c>
      <c r="F90" s="3">
        <v>0.13618562498595599</v>
      </c>
    </row>
    <row r="91" spans="1:6">
      <c r="A91" s="3" t="s">
        <v>3</v>
      </c>
      <c r="B91" s="3" t="s">
        <v>4</v>
      </c>
      <c r="C91" s="3">
        <v>50</v>
      </c>
      <c r="D91" s="3" t="s">
        <v>8</v>
      </c>
      <c r="E91" s="3">
        <v>1</v>
      </c>
      <c r="F91" s="3">
        <v>0.188037290994544</v>
      </c>
    </row>
    <row r="92" spans="1:6">
      <c r="A92" s="3" t="s">
        <v>3</v>
      </c>
      <c r="B92" s="3" t="s">
        <v>5</v>
      </c>
      <c r="C92" s="3">
        <v>150</v>
      </c>
      <c r="D92" s="3" t="s">
        <v>9</v>
      </c>
      <c r="E92" s="3">
        <v>1</v>
      </c>
      <c r="F92" s="3">
        <v>8.9704875019379002E-2</v>
      </c>
    </row>
    <row r="93" spans="1:6">
      <c r="A93" s="3" t="s">
        <v>3</v>
      </c>
      <c r="B93" s="3" t="s">
        <v>5</v>
      </c>
      <c r="C93" s="3">
        <v>50</v>
      </c>
      <c r="D93" s="3" t="s">
        <v>9</v>
      </c>
      <c r="E93" s="3">
        <v>1</v>
      </c>
      <c r="F93" s="3">
        <v>0.18551104201469601</v>
      </c>
    </row>
    <row r="94" spans="1:6">
      <c r="A94" s="3" t="s">
        <v>3</v>
      </c>
      <c r="B94" s="3" t="s">
        <v>5</v>
      </c>
      <c r="C94" s="3">
        <v>150</v>
      </c>
      <c r="D94" s="3" t="s">
        <v>9</v>
      </c>
      <c r="E94" s="3">
        <v>1</v>
      </c>
      <c r="F94" s="3">
        <v>5.3334833995904801E-2</v>
      </c>
    </row>
    <row r="95" spans="1:6">
      <c r="A95" s="3" t="s">
        <v>3</v>
      </c>
      <c r="B95" s="3" t="s">
        <v>4</v>
      </c>
      <c r="C95" s="3">
        <v>150</v>
      </c>
      <c r="D95" s="3" t="s">
        <v>8</v>
      </c>
      <c r="E95" s="3">
        <v>1</v>
      </c>
      <c r="F95" s="3">
        <v>0.11397679202491399</v>
      </c>
    </row>
    <row r="96" spans="1:6">
      <c r="A96" s="3" t="s">
        <v>3</v>
      </c>
      <c r="B96" s="3" t="s">
        <v>4</v>
      </c>
      <c r="C96" s="3">
        <v>100</v>
      </c>
      <c r="D96" s="3" t="s">
        <v>8</v>
      </c>
      <c r="E96" s="3">
        <v>1</v>
      </c>
      <c r="F96" s="3">
        <v>0.13396516599459601</v>
      </c>
    </row>
    <row r="97" spans="1:6">
      <c r="A97" s="3" t="s">
        <v>3</v>
      </c>
      <c r="B97" s="3" t="s">
        <v>5</v>
      </c>
      <c r="C97" s="3">
        <v>100</v>
      </c>
      <c r="D97" s="3" t="s">
        <v>9</v>
      </c>
      <c r="E97" s="3">
        <v>1</v>
      </c>
      <c r="F97" s="3">
        <v>0.118424292013515</v>
      </c>
    </row>
    <row r="98" spans="1:6">
      <c r="A98" s="3" t="s">
        <v>3</v>
      </c>
      <c r="B98" s="3" t="s">
        <v>5</v>
      </c>
      <c r="C98" s="3">
        <v>50</v>
      </c>
      <c r="D98" s="3" t="s">
        <v>9</v>
      </c>
      <c r="E98" s="3">
        <v>1</v>
      </c>
      <c r="F98" s="3">
        <v>0.18294545903336301</v>
      </c>
    </row>
  </sheetData>
  <sortState xmlns:xlrd2="http://schemas.microsoft.com/office/spreadsheetml/2017/richdata2" ref="A3:A98">
    <sortCondition ref="A3:A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386E-E021-1045-B7DB-B676602ECD0C}">
  <dimension ref="A1:P98"/>
  <sheetViews>
    <sheetView workbookViewId="0">
      <selection activeCell="O6" sqref="O6:P6"/>
    </sheetView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7</v>
      </c>
      <c r="E1" s="1" t="s">
        <v>10</v>
      </c>
      <c r="F1" s="1" t="s">
        <v>11</v>
      </c>
    </row>
    <row r="2" spans="1:16">
      <c r="A2" s="2"/>
      <c r="B2" s="2"/>
      <c r="C2" s="2"/>
      <c r="D2" s="2"/>
      <c r="E2" s="2"/>
      <c r="F2" s="2"/>
      <c r="I2" s="1" t="s">
        <v>0</v>
      </c>
      <c r="J2" s="1" t="s">
        <v>11</v>
      </c>
      <c r="L2" s="1" t="s">
        <v>0</v>
      </c>
      <c r="M2" s="1" t="s">
        <v>11</v>
      </c>
    </row>
    <row r="3" spans="1:16">
      <c r="A3" s="3" t="s">
        <v>6</v>
      </c>
      <c r="B3" s="3" t="s">
        <v>4</v>
      </c>
      <c r="C3" s="3">
        <v>50</v>
      </c>
      <c r="D3" s="3" t="s">
        <v>8</v>
      </c>
      <c r="E3" s="3">
        <v>1</v>
      </c>
      <c r="F3" s="3">
        <v>2.0561291239573598</v>
      </c>
    </row>
    <row r="4" spans="1:16">
      <c r="A4" s="3" t="s">
        <v>6</v>
      </c>
      <c r="B4" s="3" t="s">
        <v>5</v>
      </c>
      <c r="C4" s="3">
        <v>50</v>
      </c>
      <c r="D4" s="3" t="s">
        <v>9</v>
      </c>
      <c r="E4" s="3">
        <v>1</v>
      </c>
      <c r="F4" s="3">
        <v>1.51292745803949</v>
      </c>
      <c r="I4" s="3" t="s">
        <v>6</v>
      </c>
      <c r="J4" s="3">
        <v>2.0561291239573598</v>
      </c>
      <c r="L4" s="3" t="s">
        <v>3</v>
      </c>
      <c r="M4" s="3">
        <v>0.633239999006037</v>
      </c>
    </row>
    <row r="5" spans="1:16">
      <c r="A5" s="3" t="s">
        <v>6</v>
      </c>
      <c r="B5" s="3" t="s">
        <v>4</v>
      </c>
      <c r="C5" s="3">
        <v>100</v>
      </c>
      <c r="D5" s="3" t="s">
        <v>8</v>
      </c>
      <c r="E5" s="3">
        <v>1</v>
      </c>
      <c r="F5" s="3">
        <v>1.3816471660393299</v>
      </c>
      <c r="I5" s="3" t="s">
        <v>6</v>
      </c>
      <c r="J5" s="3">
        <v>1.51292745803949</v>
      </c>
      <c r="L5" s="3" t="s">
        <v>3</v>
      </c>
      <c r="M5" s="3">
        <v>0.55367141601163905</v>
      </c>
      <c r="O5" t="s">
        <v>3</v>
      </c>
      <c r="P5" t="s">
        <v>6</v>
      </c>
    </row>
    <row r="6" spans="1:16">
      <c r="A6" s="3" t="s">
        <v>6</v>
      </c>
      <c r="B6" s="3" t="s">
        <v>4</v>
      </c>
      <c r="C6" s="3">
        <v>100</v>
      </c>
      <c r="D6" s="3" t="s">
        <v>8</v>
      </c>
      <c r="E6" s="3">
        <v>1</v>
      </c>
      <c r="F6" s="3">
        <v>1.55800258298405</v>
      </c>
      <c r="I6" s="3" t="s">
        <v>6</v>
      </c>
      <c r="J6" s="3">
        <v>1.3816471660393299</v>
      </c>
      <c r="L6" s="3" t="s">
        <v>3</v>
      </c>
      <c r="M6" s="3">
        <v>0.47831220796797402</v>
      </c>
      <c r="N6" t="s">
        <v>29</v>
      </c>
      <c r="O6">
        <f>AVERAGE(E3:E50)*100</f>
        <v>100</v>
      </c>
      <c r="P6">
        <f>AVERAGE(E51:E98)*100</f>
        <v>97.916666666666657</v>
      </c>
    </row>
    <row r="7" spans="1:16">
      <c r="A7" s="3" t="s">
        <v>6</v>
      </c>
      <c r="B7" s="3" t="s">
        <v>5</v>
      </c>
      <c r="C7" s="3">
        <v>100</v>
      </c>
      <c r="D7" s="3" t="s">
        <v>9</v>
      </c>
      <c r="E7" s="3">
        <v>1</v>
      </c>
      <c r="F7" s="3">
        <v>0.623948791006114</v>
      </c>
      <c r="I7" s="3" t="s">
        <v>6</v>
      </c>
      <c r="J7" s="3">
        <v>1.55800258298405</v>
      </c>
      <c r="L7" s="3" t="s">
        <v>3</v>
      </c>
      <c r="M7" s="3">
        <v>0.62163483200129099</v>
      </c>
    </row>
    <row r="8" spans="1:16">
      <c r="A8" s="3" t="s">
        <v>6</v>
      </c>
      <c r="B8" s="3" t="s">
        <v>4</v>
      </c>
      <c r="C8" s="3">
        <v>100</v>
      </c>
      <c r="D8" s="3" t="s">
        <v>8</v>
      </c>
      <c r="E8" s="3">
        <v>1</v>
      </c>
      <c r="F8" s="3">
        <v>0.66774104099022202</v>
      </c>
      <c r="I8" s="3" t="s">
        <v>6</v>
      </c>
      <c r="J8" s="3">
        <v>0.623948791006114</v>
      </c>
      <c r="L8" s="3" t="s">
        <v>3</v>
      </c>
      <c r="M8" s="3">
        <v>0.69059395801741597</v>
      </c>
    </row>
    <row r="9" spans="1:16">
      <c r="A9" s="3" t="s">
        <v>6</v>
      </c>
      <c r="B9" s="3" t="s">
        <v>5</v>
      </c>
      <c r="C9" s="3">
        <v>150</v>
      </c>
      <c r="D9" s="3" t="s">
        <v>9</v>
      </c>
      <c r="E9" s="3">
        <v>1</v>
      </c>
      <c r="F9" s="3">
        <v>0.82343683298677195</v>
      </c>
      <c r="I9" s="3" t="s">
        <v>6</v>
      </c>
      <c r="J9" s="3">
        <v>0.66774104099022202</v>
      </c>
      <c r="L9" s="3" t="s">
        <v>3</v>
      </c>
      <c r="M9" s="3">
        <v>0.63723483303328998</v>
      </c>
    </row>
    <row r="10" spans="1:16">
      <c r="A10" s="3" t="s">
        <v>6</v>
      </c>
      <c r="B10" s="3" t="s">
        <v>4</v>
      </c>
      <c r="C10" s="3">
        <v>50</v>
      </c>
      <c r="D10" s="3" t="s">
        <v>8</v>
      </c>
      <c r="E10" s="3">
        <v>1</v>
      </c>
      <c r="F10" s="3">
        <v>1.2896683739963899</v>
      </c>
      <c r="I10" s="3" t="s">
        <v>6</v>
      </c>
      <c r="J10" s="3">
        <v>0.82343683298677195</v>
      </c>
      <c r="L10" s="3" t="s">
        <v>3</v>
      </c>
      <c r="M10" s="3">
        <v>0.56894929101690705</v>
      </c>
    </row>
    <row r="11" spans="1:16">
      <c r="A11" s="3" t="s">
        <v>6</v>
      </c>
      <c r="B11" s="3" t="s">
        <v>4</v>
      </c>
      <c r="C11" s="3">
        <v>150</v>
      </c>
      <c r="D11" s="3" t="s">
        <v>8</v>
      </c>
      <c r="E11" s="3">
        <v>1</v>
      </c>
      <c r="F11" s="3">
        <v>0.548579499009065</v>
      </c>
      <c r="I11" s="3" t="s">
        <v>6</v>
      </c>
      <c r="J11" s="3">
        <v>1.2896683739963899</v>
      </c>
      <c r="L11" s="3" t="s">
        <v>3</v>
      </c>
      <c r="M11" s="3">
        <v>0.62520108296303101</v>
      </c>
    </row>
    <row r="12" spans="1:16">
      <c r="A12" s="3" t="s">
        <v>6</v>
      </c>
      <c r="B12" s="3" t="s">
        <v>4</v>
      </c>
      <c r="C12" s="3">
        <v>150</v>
      </c>
      <c r="D12" s="3" t="s">
        <v>8</v>
      </c>
      <c r="E12" s="3">
        <v>1</v>
      </c>
      <c r="F12" s="3">
        <v>0.43734783295076302</v>
      </c>
      <c r="I12" s="3" t="s">
        <v>6</v>
      </c>
      <c r="J12" s="3">
        <v>0.548579499009065</v>
      </c>
      <c r="L12" s="3" t="s">
        <v>3</v>
      </c>
      <c r="M12" s="3">
        <v>0.52791116602020305</v>
      </c>
    </row>
    <row r="13" spans="1:16">
      <c r="A13" s="3" t="s">
        <v>6</v>
      </c>
      <c r="B13" s="3" t="s">
        <v>4</v>
      </c>
      <c r="C13" s="3">
        <v>150</v>
      </c>
      <c r="D13" s="3" t="s">
        <v>8</v>
      </c>
      <c r="E13" s="3">
        <v>1</v>
      </c>
      <c r="F13" s="3">
        <v>1.1062272500130299</v>
      </c>
      <c r="I13" s="3" t="s">
        <v>6</v>
      </c>
      <c r="J13" s="3">
        <v>0.43734783295076302</v>
      </c>
      <c r="L13" s="3" t="s">
        <v>3</v>
      </c>
      <c r="M13" s="3">
        <v>0.29769687500083802</v>
      </c>
    </row>
    <row r="14" spans="1:16">
      <c r="A14" s="3" t="s">
        <v>6</v>
      </c>
      <c r="B14" s="3" t="s">
        <v>4</v>
      </c>
      <c r="C14" s="3">
        <v>150</v>
      </c>
      <c r="D14" s="3" t="s">
        <v>8</v>
      </c>
      <c r="E14" s="3">
        <v>1</v>
      </c>
      <c r="F14" s="3">
        <v>1.7710880410159</v>
      </c>
      <c r="I14" s="3" t="s">
        <v>6</v>
      </c>
      <c r="J14" s="3">
        <v>1.1062272500130299</v>
      </c>
      <c r="L14" s="3" t="s">
        <v>3</v>
      </c>
      <c r="M14" s="3">
        <v>0.19243741600075701</v>
      </c>
    </row>
    <row r="15" spans="1:16">
      <c r="A15" s="3" t="s">
        <v>6</v>
      </c>
      <c r="B15" s="3" t="s">
        <v>4</v>
      </c>
      <c r="C15" s="3">
        <v>100</v>
      </c>
      <c r="D15" s="3" t="s">
        <v>8</v>
      </c>
      <c r="E15" s="3">
        <v>1</v>
      </c>
      <c r="F15" s="3">
        <v>1.61175908299629</v>
      </c>
      <c r="I15" s="3" t="s">
        <v>6</v>
      </c>
      <c r="J15" s="3">
        <v>1.7710880410159</v>
      </c>
      <c r="L15" s="3" t="s">
        <v>3</v>
      </c>
      <c r="M15" s="3">
        <v>0.208774166007061</v>
      </c>
    </row>
    <row r="16" spans="1:16">
      <c r="A16" s="3" t="s">
        <v>6</v>
      </c>
      <c r="B16" s="3" t="s">
        <v>5</v>
      </c>
      <c r="C16" s="3">
        <v>150</v>
      </c>
      <c r="D16" s="3" t="s">
        <v>9</v>
      </c>
      <c r="E16" s="3">
        <v>1</v>
      </c>
      <c r="F16" s="3">
        <v>0.40389629098353902</v>
      </c>
      <c r="I16" s="3" t="s">
        <v>6</v>
      </c>
      <c r="J16" s="3">
        <v>1.61175908299629</v>
      </c>
      <c r="L16" s="3" t="s">
        <v>3</v>
      </c>
      <c r="M16" s="3">
        <v>0.50300079100998096</v>
      </c>
    </row>
    <row r="17" spans="1:13">
      <c r="A17" s="3" t="s">
        <v>6</v>
      </c>
      <c r="B17" s="3" t="s">
        <v>5</v>
      </c>
      <c r="C17" s="3">
        <v>50</v>
      </c>
      <c r="D17" s="3" t="s">
        <v>9</v>
      </c>
      <c r="E17" s="3">
        <v>1</v>
      </c>
      <c r="F17" s="3">
        <v>0.53283412498422</v>
      </c>
      <c r="I17" s="3" t="s">
        <v>6</v>
      </c>
      <c r="J17" s="3">
        <v>0.40389629098353902</v>
      </c>
      <c r="L17" s="3" t="s">
        <v>3</v>
      </c>
      <c r="M17" s="3">
        <v>0.83610175002831999</v>
      </c>
    </row>
    <row r="18" spans="1:13">
      <c r="A18" s="3" t="s">
        <v>6</v>
      </c>
      <c r="B18" s="3" t="s">
        <v>4</v>
      </c>
      <c r="C18" s="3">
        <v>50</v>
      </c>
      <c r="D18" s="3" t="s">
        <v>8</v>
      </c>
      <c r="E18" s="3">
        <v>1</v>
      </c>
      <c r="F18" s="3">
        <v>0.77917799900751605</v>
      </c>
      <c r="I18" s="3" t="s">
        <v>6</v>
      </c>
      <c r="J18" s="3">
        <v>0.53283412498422</v>
      </c>
      <c r="L18" s="3" t="s">
        <v>3</v>
      </c>
      <c r="M18" s="3">
        <v>0.31478474900359299</v>
      </c>
    </row>
    <row r="19" spans="1:13">
      <c r="A19" s="3" t="s">
        <v>6</v>
      </c>
      <c r="B19" s="3" t="s">
        <v>4</v>
      </c>
      <c r="C19" s="3">
        <v>100</v>
      </c>
      <c r="D19" s="3" t="s">
        <v>8</v>
      </c>
      <c r="E19" s="3">
        <v>1</v>
      </c>
      <c r="F19" s="3">
        <v>0.41306308197090402</v>
      </c>
      <c r="I19" s="3" t="s">
        <v>6</v>
      </c>
      <c r="J19" s="3">
        <v>0.77917799900751605</v>
      </c>
      <c r="L19" s="3" t="s">
        <v>3</v>
      </c>
      <c r="M19" s="3">
        <v>0.66016970801865704</v>
      </c>
    </row>
    <row r="20" spans="1:13">
      <c r="A20" s="3" t="s">
        <v>6</v>
      </c>
      <c r="B20" s="3" t="s">
        <v>4</v>
      </c>
      <c r="C20" s="3">
        <v>50</v>
      </c>
      <c r="D20" s="3" t="s">
        <v>8</v>
      </c>
      <c r="E20" s="3">
        <v>1</v>
      </c>
      <c r="F20" s="3">
        <v>1.2583895410061801</v>
      </c>
      <c r="I20" s="3" t="s">
        <v>6</v>
      </c>
      <c r="J20" s="3">
        <v>0.41306308197090402</v>
      </c>
      <c r="L20" s="3" t="s">
        <v>3</v>
      </c>
      <c r="M20" s="3">
        <v>1.4445350409951101</v>
      </c>
    </row>
    <row r="21" spans="1:13">
      <c r="A21" s="3" t="s">
        <v>6</v>
      </c>
      <c r="B21" s="3" t="s">
        <v>5</v>
      </c>
      <c r="C21" s="3">
        <v>100</v>
      </c>
      <c r="D21" s="3" t="s">
        <v>9</v>
      </c>
      <c r="E21" s="3">
        <v>1</v>
      </c>
      <c r="F21" s="3">
        <v>1.2936469580163199</v>
      </c>
      <c r="I21" s="3" t="s">
        <v>6</v>
      </c>
      <c r="J21" s="3">
        <v>1.2583895410061801</v>
      </c>
      <c r="L21" s="3" t="s">
        <v>3</v>
      </c>
      <c r="M21" s="3">
        <v>0.72539120703004301</v>
      </c>
    </row>
    <row r="22" spans="1:13">
      <c r="A22" s="3" t="s">
        <v>6</v>
      </c>
      <c r="B22" s="3" t="s">
        <v>5</v>
      </c>
      <c r="C22" s="3">
        <v>50</v>
      </c>
      <c r="D22" s="3" t="s">
        <v>9</v>
      </c>
      <c r="E22" s="3">
        <v>1</v>
      </c>
      <c r="F22" s="3">
        <v>0.47660125000402298</v>
      </c>
      <c r="I22" s="3" t="s">
        <v>6</v>
      </c>
      <c r="J22" s="3">
        <v>1.2936469580163199</v>
      </c>
      <c r="L22" s="3" t="s">
        <v>3</v>
      </c>
      <c r="M22" s="3">
        <v>0.29938091599615302</v>
      </c>
    </row>
    <row r="23" spans="1:13">
      <c r="A23" s="3" t="s">
        <v>6</v>
      </c>
      <c r="B23" s="3" t="s">
        <v>5</v>
      </c>
      <c r="C23" s="3">
        <v>100</v>
      </c>
      <c r="D23" s="3" t="s">
        <v>9</v>
      </c>
      <c r="E23" s="3">
        <v>1</v>
      </c>
      <c r="F23" s="3">
        <v>1.01644370798022</v>
      </c>
      <c r="I23" s="3" t="s">
        <v>6</v>
      </c>
      <c r="J23" s="3">
        <v>0.47660125000402298</v>
      </c>
      <c r="L23" s="3" t="s">
        <v>3</v>
      </c>
      <c r="M23" s="3">
        <v>0.329004249011632</v>
      </c>
    </row>
    <row r="24" spans="1:13">
      <c r="A24" s="3" t="s">
        <v>6</v>
      </c>
      <c r="B24" s="3" t="s">
        <v>5</v>
      </c>
      <c r="C24" s="3">
        <v>50</v>
      </c>
      <c r="D24" s="3" t="s">
        <v>9</v>
      </c>
      <c r="E24" s="3">
        <v>1</v>
      </c>
      <c r="F24" s="3">
        <v>0.672462873975746</v>
      </c>
      <c r="I24" s="3" t="s">
        <v>6</v>
      </c>
      <c r="J24" s="3">
        <v>1.01644370798022</v>
      </c>
      <c r="L24" s="3" t="s">
        <v>3</v>
      </c>
      <c r="M24" s="3">
        <v>1.80467454099562</v>
      </c>
    </row>
    <row r="25" spans="1:13">
      <c r="A25" s="3" t="s">
        <v>6</v>
      </c>
      <c r="B25" s="3" t="s">
        <v>4</v>
      </c>
      <c r="C25" s="3">
        <v>100</v>
      </c>
      <c r="D25" s="3" t="s">
        <v>8</v>
      </c>
      <c r="E25" s="3">
        <v>1</v>
      </c>
      <c r="F25" s="3">
        <v>1.20674908201909</v>
      </c>
      <c r="I25" s="3" t="s">
        <v>6</v>
      </c>
      <c r="J25" s="3">
        <v>0.672462873975746</v>
      </c>
      <c r="L25" s="3" t="s">
        <v>3</v>
      </c>
      <c r="M25" s="3">
        <v>1.2244129580212799</v>
      </c>
    </row>
    <row r="26" spans="1:13">
      <c r="A26" s="3" t="s">
        <v>6</v>
      </c>
      <c r="B26" s="3" t="s">
        <v>5</v>
      </c>
      <c r="C26" s="3">
        <v>50</v>
      </c>
      <c r="D26" s="3" t="s">
        <v>9</v>
      </c>
      <c r="E26" s="3">
        <v>1</v>
      </c>
      <c r="F26" s="3">
        <v>0.74780816602287803</v>
      </c>
      <c r="I26" s="3" t="s">
        <v>6</v>
      </c>
      <c r="J26" s="3">
        <v>1.20674908201909</v>
      </c>
      <c r="L26" s="3" t="s">
        <v>3</v>
      </c>
      <c r="M26" s="3">
        <v>0.64238529099384301</v>
      </c>
    </row>
    <row r="27" spans="1:13">
      <c r="A27" s="3" t="s">
        <v>6</v>
      </c>
      <c r="B27" s="3" t="s">
        <v>4</v>
      </c>
      <c r="C27" s="3">
        <v>150</v>
      </c>
      <c r="D27" s="3" t="s">
        <v>8</v>
      </c>
      <c r="E27" s="3">
        <v>1</v>
      </c>
      <c r="F27" s="3">
        <v>0.697462623997126</v>
      </c>
      <c r="I27" s="3" t="s">
        <v>6</v>
      </c>
      <c r="J27" s="3">
        <v>0.74780816602287803</v>
      </c>
      <c r="L27" s="3" t="s">
        <v>3</v>
      </c>
      <c r="M27" s="3">
        <v>0.772384207986761</v>
      </c>
    </row>
    <row r="28" spans="1:13">
      <c r="A28" s="3" t="s">
        <v>6</v>
      </c>
      <c r="B28" s="3" t="s">
        <v>4</v>
      </c>
      <c r="C28" s="3">
        <v>100</v>
      </c>
      <c r="D28" s="3" t="s">
        <v>8</v>
      </c>
      <c r="E28" s="3">
        <v>1</v>
      </c>
      <c r="F28" s="3">
        <v>0.38802333199419098</v>
      </c>
      <c r="I28" s="3" t="s">
        <v>6</v>
      </c>
      <c r="J28" s="3">
        <v>0.697462623997126</v>
      </c>
      <c r="L28" s="3" t="s">
        <v>3</v>
      </c>
      <c r="M28" s="3">
        <v>1.04453937499784</v>
      </c>
    </row>
    <row r="29" spans="1:13">
      <c r="A29" s="3" t="s">
        <v>6</v>
      </c>
      <c r="B29" s="3" t="s">
        <v>4</v>
      </c>
      <c r="C29" s="3">
        <v>150</v>
      </c>
      <c r="D29" s="3" t="s">
        <v>8</v>
      </c>
      <c r="E29" s="3">
        <v>1</v>
      </c>
      <c r="F29" s="3">
        <v>1.33884916600073</v>
      </c>
      <c r="I29" s="3" t="s">
        <v>6</v>
      </c>
      <c r="J29" s="3">
        <v>0.38802333199419098</v>
      </c>
      <c r="L29" s="3" t="s">
        <v>3</v>
      </c>
      <c r="M29" s="3">
        <v>1.53493162401719</v>
      </c>
    </row>
    <row r="30" spans="1:13">
      <c r="A30" s="3" t="s">
        <v>6</v>
      </c>
      <c r="B30" s="3" t="s">
        <v>5</v>
      </c>
      <c r="C30" s="3">
        <v>100</v>
      </c>
      <c r="D30" s="3" t="s">
        <v>9</v>
      </c>
      <c r="E30" s="3">
        <v>1</v>
      </c>
      <c r="F30" s="3">
        <v>1.1918015819974199</v>
      </c>
      <c r="I30" s="3" t="s">
        <v>6</v>
      </c>
      <c r="J30" s="3">
        <v>1.33884916600073</v>
      </c>
      <c r="L30" s="3" t="s">
        <v>3</v>
      </c>
      <c r="M30" s="3">
        <v>0.27863462397362998</v>
      </c>
    </row>
    <row r="31" spans="1:13">
      <c r="A31" s="3" t="s">
        <v>6</v>
      </c>
      <c r="B31" s="3" t="s">
        <v>5</v>
      </c>
      <c r="C31" s="3">
        <v>50</v>
      </c>
      <c r="D31" s="3" t="s">
        <v>9</v>
      </c>
      <c r="E31" s="3">
        <v>1</v>
      </c>
      <c r="F31" s="3">
        <v>1.32453933299985</v>
      </c>
      <c r="I31" s="3" t="s">
        <v>6</v>
      </c>
      <c r="J31" s="3">
        <v>1.1918015819974199</v>
      </c>
      <c r="L31" s="3" t="s">
        <v>3</v>
      </c>
      <c r="M31" s="3">
        <v>0.96431179094361097</v>
      </c>
    </row>
    <row r="32" spans="1:13">
      <c r="A32" s="3" t="s">
        <v>6</v>
      </c>
      <c r="B32" s="3" t="s">
        <v>5</v>
      </c>
      <c r="C32" s="3">
        <v>150</v>
      </c>
      <c r="D32" s="3" t="s">
        <v>9</v>
      </c>
      <c r="E32" s="3">
        <v>1</v>
      </c>
      <c r="F32" s="3">
        <v>0.64902945799985901</v>
      </c>
      <c r="I32" s="3" t="s">
        <v>6</v>
      </c>
      <c r="J32" s="3">
        <v>1.32453933299985</v>
      </c>
      <c r="L32" s="3" t="s">
        <v>3</v>
      </c>
      <c r="M32" s="3">
        <v>2.2465603739838098</v>
      </c>
    </row>
    <row r="33" spans="1:13">
      <c r="A33" s="3" t="s">
        <v>6</v>
      </c>
      <c r="B33" s="3" t="s">
        <v>5</v>
      </c>
      <c r="C33" s="3">
        <v>150</v>
      </c>
      <c r="D33" s="3" t="s">
        <v>9</v>
      </c>
      <c r="E33" s="3">
        <v>1</v>
      </c>
      <c r="F33" s="3">
        <v>0.60408091597491897</v>
      </c>
      <c r="I33" s="3" t="s">
        <v>6</v>
      </c>
      <c r="J33" s="3">
        <v>0.64902945799985901</v>
      </c>
      <c r="L33" s="3" t="s">
        <v>3</v>
      </c>
      <c r="M33" s="3">
        <v>1.18324520700844</v>
      </c>
    </row>
    <row r="34" spans="1:13">
      <c r="A34" s="3" t="s">
        <v>6</v>
      </c>
      <c r="B34" s="3" t="s">
        <v>5</v>
      </c>
      <c r="C34" s="3">
        <v>100</v>
      </c>
      <c r="D34" s="3" t="s">
        <v>9</v>
      </c>
      <c r="E34" s="3">
        <v>1</v>
      </c>
      <c r="F34" s="3">
        <v>0.88344670704100303</v>
      </c>
      <c r="I34" s="3" t="s">
        <v>6</v>
      </c>
      <c r="J34" s="3">
        <v>0.60408091597491897</v>
      </c>
      <c r="L34" s="3" t="s">
        <v>3</v>
      </c>
      <c r="M34" s="3">
        <v>0.83509274903917696</v>
      </c>
    </row>
    <row r="35" spans="1:13">
      <c r="A35" s="3" t="s">
        <v>6</v>
      </c>
      <c r="B35" s="3" t="s">
        <v>4</v>
      </c>
      <c r="C35" s="3">
        <v>100</v>
      </c>
      <c r="D35" s="3" t="s">
        <v>8</v>
      </c>
      <c r="E35" s="3">
        <v>1</v>
      </c>
      <c r="F35" s="3">
        <v>0.38705274998210398</v>
      </c>
      <c r="I35" s="3" t="s">
        <v>6</v>
      </c>
      <c r="J35" s="3">
        <v>0.88344670704100303</v>
      </c>
      <c r="L35" s="3" t="s">
        <v>3</v>
      </c>
      <c r="M35" s="3">
        <v>1.0665482080075901</v>
      </c>
    </row>
    <row r="36" spans="1:13">
      <c r="A36" s="3" t="s">
        <v>6</v>
      </c>
      <c r="B36" s="3" t="s">
        <v>5</v>
      </c>
      <c r="C36" s="3">
        <v>150</v>
      </c>
      <c r="D36" s="3" t="s">
        <v>9</v>
      </c>
      <c r="E36" s="3">
        <v>1</v>
      </c>
      <c r="F36" s="3">
        <v>1.0453804159769799</v>
      </c>
      <c r="I36" s="3" t="s">
        <v>6</v>
      </c>
      <c r="J36" s="3">
        <v>0.38705274998210398</v>
      </c>
      <c r="L36" s="3" t="s">
        <v>3</v>
      </c>
      <c r="M36" s="3">
        <v>1.49091729102656</v>
      </c>
    </row>
    <row r="37" spans="1:13">
      <c r="A37" s="3" t="s">
        <v>6</v>
      </c>
      <c r="B37" s="3" t="s">
        <v>5</v>
      </c>
      <c r="C37" s="3">
        <v>50</v>
      </c>
      <c r="D37" s="3" t="s">
        <v>9</v>
      </c>
      <c r="E37" s="3">
        <v>1</v>
      </c>
      <c r="F37" s="3">
        <v>0.53207987500354703</v>
      </c>
      <c r="I37" s="3" t="s">
        <v>6</v>
      </c>
      <c r="J37" s="3">
        <v>1.0453804159769799</v>
      </c>
      <c r="L37" s="3" t="s">
        <v>3</v>
      </c>
      <c r="M37" s="3">
        <v>0.972877540974878</v>
      </c>
    </row>
    <row r="38" spans="1:13">
      <c r="A38" s="3" t="s">
        <v>6</v>
      </c>
      <c r="B38" s="3" t="s">
        <v>4</v>
      </c>
      <c r="C38" s="3">
        <v>150</v>
      </c>
      <c r="D38" s="3" t="s">
        <v>8</v>
      </c>
      <c r="E38" s="3">
        <v>1</v>
      </c>
      <c r="F38" s="3">
        <v>0.74106358195422195</v>
      </c>
      <c r="I38" s="3" t="s">
        <v>6</v>
      </c>
      <c r="J38" s="3">
        <v>0.53207987500354703</v>
      </c>
      <c r="L38" s="3" t="s">
        <v>3</v>
      </c>
      <c r="M38" s="3">
        <v>0.57762437401106603</v>
      </c>
    </row>
    <row r="39" spans="1:13">
      <c r="A39" s="3" t="s">
        <v>6</v>
      </c>
      <c r="B39" s="3" t="s">
        <v>4</v>
      </c>
      <c r="C39" s="3">
        <v>150</v>
      </c>
      <c r="D39" s="3" t="s">
        <v>8</v>
      </c>
      <c r="E39" s="3">
        <v>1</v>
      </c>
      <c r="F39" s="3">
        <v>1.27130791603122</v>
      </c>
      <c r="I39" s="3" t="s">
        <v>6</v>
      </c>
      <c r="J39" s="3">
        <v>0.74106358195422195</v>
      </c>
      <c r="L39" s="3" t="s">
        <v>3</v>
      </c>
      <c r="M39" s="3">
        <v>0.70473120699170999</v>
      </c>
    </row>
    <row r="40" spans="1:13">
      <c r="A40" s="3" t="s">
        <v>6</v>
      </c>
      <c r="B40" s="3" t="s">
        <v>4</v>
      </c>
      <c r="C40" s="3">
        <v>100</v>
      </c>
      <c r="D40" s="3" t="s">
        <v>8</v>
      </c>
      <c r="E40" s="3">
        <v>1</v>
      </c>
      <c r="F40" s="3">
        <v>0.68829758197534796</v>
      </c>
      <c r="I40" s="3" t="s">
        <v>6</v>
      </c>
      <c r="J40" s="3">
        <v>1.27130791603122</v>
      </c>
      <c r="L40" s="3" t="s">
        <v>3</v>
      </c>
      <c r="M40" s="3">
        <v>0.96282545698341004</v>
      </c>
    </row>
    <row r="41" spans="1:13">
      <c r="A41" s="3" t="s">
        <v>6</v>
      </c>
      <c r="B41" s="3" t="s">
        <v>5</v>
      </c>
      <c r="C41" s="3">
        <v>150</v>
      </c>
      <c r="D41" s="3" t="s">
        <v>9</v>
      </c>
      <c r="E41" s="3">
        <v>1</v>
      </c>
      <c r="F41" s="3">
        <v>0.41781950002769003</v>
      </c>
      <c r="I41" s="3" t="s">
        <v>6</v>
      </c>
      <c r="J41" s="3">
        <v>0.68829758197534796</v>
      </c>
      <c r="L41" s="3" t="s">
        <v>3</v>
      </c>
      <c r="M41" s="3">
        <v>0.57773637399077404</v>
      </c>
    </row>
    <row r="42" spans="1:13">
      <c r="A42" s="3" t="s">
        <v>6</v>
      </c>
      <c r="B42" s="3" t="s">
        <v>5</v>
      </c>
      <c r="C42" s="3">
        <v>100</v>
      </c>
      <c r="D42" s="3" t="s">
        <v>9</v>
      </c>
      <c r="E42" s="3">
        <v>1</v>
      </c>
      <c r="F42" s="3">
        <v>0.76304495800286498</v>
      </c>
      <c r="I42" s="3" t="s">
        <v>6</v>
      </c>
      <c r="J42" s="3">
        <v>0.41781950002769003</v>
      </c>
      <c r="L42" s="3" t="s">
        <v>3</v>
      </c>
      <c r="M42" s="3">
        <v>1.3746283740038101</v>
      </c>
    </row>
    <row r="43" spans="1:13">
      <c r="A43" s="3" t="s">
        <v>6</v>
      </c>
      <c r="B43" s="3" t="s">
        <v>4</v>
      </c>
      <c r="C43" s="3">
        <v>150</v>
      </c>
      <c r="D43" s="3" t="s">
        <v>8</v>
      </c>
      <c r="E43" s="3">
        <v>1</v>
      </c>
      <c r="F43" s="3">
        <v>0.71383004100061997</v>
      </c>
      <c r="I43" s="3" t="s">
        <v>6</v>
      </c>
      <c r="J43" s="3">
        <v>0.76304495800286498</v>
      </c>
      <c r="L43" s="3" t="s">
        <v>3</v>
      </c>
      <c r="M43" s="3">
        <v>0.78019420697819397</v>
      </c>
    </row>
    <row r="44" spans="1:13">
      <c r="A44" s="3" t="s">
        <v>6</v>
      </c>
      <c r="B44" s="3" t="s">
        <v>5</v>
      </c>
      <c r="C44" s="3">
        <v>150</v>
      </c>
      <c r="D44" s="3" t="s">
        <v>9</v>
      </c>
      <c r="E44" s="3">
        <v>1</v>
      </c>
      <c r="F44" s="3">
        <v>1.06265749898739</v>
      </c>
      <c r="I44" s="3" t="s">
        <v>6</v>
      </c>
      <c r="J44" s="3">
        <v>0.71383004100061997</v>
      </c>
      <c r="L44" s="3" t="s">
        <v>3</v>
      </c>
      <c r="M44" s="3">
        <v>1.84504583303351</v>
      </c>
    </row>
    <row r="45" spans="1:13">
      <c r="A45" s="3" t="s">
        <v>6</v>
      </c>
      <c r="B45" s="3" t="s">
        <v>4</v>
      </c>
      <c r="C45" s="3">
        <v>50</v>
      </c>
      <c r="D45" s="3" t="s">
        <v>8</v>
      </c>
      <c r="E45" s="3">
        <v>1</v>
      </c>
      <c r="F45" s="3">
        <v>3.13895520701772</v>
      </c>
      <c r="I45" s="3" t="s">
        <v>6</v>
      </c>
      <c r="J45" s="3">
        <v>1.06265749898739</v>
      </c>
      <c r="L45" s="3" t="s">
        <v>3</v>
      </c>
      <c r="M45" s="3">
        <v>0.80895416601560999</v>
      </c>
    </row>
    <row r="46" spans="1:13">
      <c r="A46" s="3" t="s">
        <v>6</v>
      </c>
      <c r="B46" s="3" t="s">
        <v>4</v>
      </c>
      <c r="C46" s="3">
        <v>50</v>
      </c>
      <c r="D46" s="3" t="s">
        <v>8</v>
      </c>
      <c r="E46" s="3">
        <v>1</v>
      </c>
      <c r="F46" s="3">
        <v>0.71662995801307305</v>
      </c>
      <c r="I46" s="3" t="s">
        <v>6</v>
      </c>
      <c r="J46" s="3">
        <v>3.13895520701772</v>
      </c>
      <c r="L46" s="3" t="s">
        <v>3</v>
      </c>
      <c r="M46" s="3">
        <v>0.83411266602343004</v>
      </c>
    </row>
    <row r="47" spans="1:13">
      <c r="A47" s="3" t="s">
        <v>6</v>
      </c>
      <c r="B47" s="3" t="s">
        <v>5</v>
      </c>
      <c r="C47" s="3">
        <v>100</v>
      </c>
      <c r="D47" s="3" t="s">
        <v>9</v>
      </c>
      <c r="E47" s="3">
        <v>1</v>
      </c>
      <c r="F47" s="3">
        <v>0.37012541602598498</v>
      </c>
      <c r="I47" s="3" t="s">
        <v>6</v>
      </c>
      <c r="J47" s="3">
        <v>0.71662995801307305</v>
      </c>
      <c r="L47" s="3" t="s">
        <v>3</v>
      </c>
      <c r="M47" s="3">
        <v>0.89002108300337601</v>
      </c>
    </row>
    <row r="48" spans="1:13">
      <c r="A48" s="3" t="s">
        <v>6</v>
      </c>
      <c r="B48" s="3" t="s">
        <v>5</v>
      </c>
      <c r="C48" s="3">
        <v>150</v>
      </c>
      <c r="D48" s="3" t="s">
        <v>9</v>
      </c>
      <c r="E48" s="3">
        <v>1</v>
      </c>
      <c r="F48" s="3">
        <v>2.02153887401801</v>
      </c>
      <c r="I48" s="3" t="s">
        <v>6</v>
      </c>
      <c r="J48" s="3">
        <v>0.37012541602598498</v>
      </c>
      <c r="L48" s="3" t="s">
        <v>3</v>
      </c>
      <c r="M48" s="3">
        <v>0.61571958300191898</v>
      </c>
    </row>
    <row r="49" spans="1:13">
      <c r="A49" s="3" t="s">
        <v>6</v>
      </c>
      <c r="B49" s="3" t="s">
        <v>5</v>
      </c>
      <c r="C49" s="3">
        <v>50</v>
      </c>
      <c r="D49" s="3" t="s">
        <v>9</v>
      </c>
      <c r="E49" s="3">
        <v>1</v>
      </c>
      <c r="F49" s="3">
        <v>1.04516524903011</v>
      </c>
      <c r="I49" s="3" t="s">
        <v>6</v>
      </c>
      <c r="J49" s="3">
        <v>2.02153887401801</v>
      </c>
      <c r="L49" s="3" t="s">
        <v>3</v>
      </c>
      <c r="M49" s="3">
        <v>1.0069703320041301</v>
      </c>
    </row>
    <row r="50" spans="1:13">
      <c r="A50" s="3" t="s">
        <v>6</v>
      </c>
      <c r="B50" s="3" t="s">
        <v>4</v>
      </c>
      <c r="C50" s="3">
        <v>50</v>
      </c>
      <c r="D50" s="3" t="s">
        <v>8</v>
      </c>
      <c r="E50" s="3">
        <v>1</v>
      </c>
      <c r="F50" s="3">
        <v>0.72190799895906799</v>
      </c>
      <c r="I50" s="3" t="s">
        <v>6</v>
      </c>
      <c r="J50" s="3">
        <v>1.04516524903011</v>
      </c>
      <c r="L50" s="3" t="s">
        <v>3</v>
      </c>
      <c r="M50" s="3">
        <v>1.11542616598308</v>
      </c>
    </row>
    <row r="51" spans="1:13">
      <c r="A51" s="4"/>
      <c r="B51" s="4"/>
      <c r="C51" s="4"/>
      <c r="D51" s="4"/>
      <c r="E51" s="4">
        <v>0</v>
      </c>
      <c r="F51" s="4"/>
      <c r="I51" s="3" t="s">
        <v>6</v>
      </c>
      <c r="J51" s="3">
        <v>0.72190799895906799</v>
      </c>
    </row>
    <row r="52" spans="1:13">
      <c r="A52" s="3" t="s">
        <v>3</v>
      </c>
      <c r="B52" s="3" t="s">
        <v>4</v>
      </c>
      <c r="C52" s="3">
        <v>100</v>
      </c>
      <c r="D52" s="3" t="s">
        <v>8</v>
      </c>
      <c r="E52" s="3">
        <v>1</v>
      </c>
      <c r="F52" s="3">
        <v>0.633239999006037</v>
      </c>
      <c r="I52" s="3" t="s">
        <v>13</v>
      </c>
      <c r="J52">
        <f>AVERAGE(J4:J51)</f>
        <v>0.97715971024930159</v>
      </c>
      <c r="L52" s="3" t="s">
        <v>12</v>
      </c>
      <c r="M52">
        <f>AVERAGE(M4:M50)</f>
        <v>0.83624534591774846</v>
      </c>
    </row>
    <row r="53" spans="1:13">
      <c r="A53" s="3" t="s">
        <v>3</v>
      </c>
      <c r="B53" s="3" t="s">
        <v>5</v>
      </c>
      <c r="C53" s="3">
        <v>100</v>
      </c>
      <c r="D53" s="3" t="s">
        <v>9</v>
      </c>
      <c r="E53" s="3">
        <v>1</v>
      </c>
      <c r="F53" s="3">
        <v>0.55367141601163905</v>
      </c>
    </row>
    <row r="54" spans="1:13">
      <c r="A54" s="3" t="s">
        <v>3</v>
      </c>
      <c r="B54" s="3" t="s">
        <v>4</v>
      </c>
      <c r="C54" s="3">
        <v>150</v>
      </c>
      <c r="D54" s="3" t="s">
        <v>8</v>
      </c>
      <c r="E54" s="3">
        <v>1</v>
      </c>
      <c r="F54" s="3">
        <v>0.47831220796797402</v>
      </c>
      <c r="H54" s="3" t="s">
        <v>17</v>
      </c>
      <c r="I54" t="s">
        <v>14</v>
      </c>
      <c r="J54" t="s">
        <v>15</v>
      </c>
    </row>
    <row r="55" spans="1:13" ht="18">
      <c r="A55" s="3" t="s">
        <v>3</v>
      </c>
      <c r="B55" s="3" t="s">
        <v>4</v>
      </c>
      <c r="C55" s="3">
        <v>100</v>
      </c>
      <c r="D55" s="3" t="s">
        <v>8</v>
      </c>
      <c r="E55" s="3">
        <v>1</v>
      </c>
      <c r="F55" s="3">
        <v>0.62163483200129099</v>
      </c>
      <c r="H55" s="3">
        <v>50</v>
      </c>
      <c r="I55" s="7">
        <f>AVERAGEIFS(F:F, A:A,"valid", C:C,50)</f>
        <v>0.97716736205620691</v>
      </c>
      <c r="J55" s="7">
        <f>AVERAGEIFS(F:F, A:A,"invalid", C:C,50)</f>
        <v>1.1203517688011446</v>
      </c>
    </row>
    <row r="56" spans="1:13" ht="18">
      <c r="A56" s="3" t="s">
        <v>3</v>
      </c>
      <c r="B56" s="3" t="s">
        <v>5</v>
      </c>
      <c r="C56" s="3">
        <v>150</v>
      </c>
      <c r="D56" s="3" t="s">
        <v>9</v>
      </c>
      <c r="E56" s="3">
        <v>1</v>
      </c>
      <c r="F56" s="3">
        <v>0.69059395801741597</v>
      </c>
      <c r="H56" s="3">
        <v>100</v>
      </c>
      <c r="I56" s="7">
        <f>AVERAGEIFS(F:F, A:A,"valid", C:C,100)</f>
        <v>0.90642605200797965</v>
      </c>
      <c r="J56" s="7">
        <f>AVERAGEIFS(F:F, A:A,"invalid", C:C,100)</f>
        <v>0.902799613813841</v>
      </c>
    </row>
    <row r="57" spans="1:13" ht="18">
      <c r="A57" s="3" t="s">
        <v>3</v>
      </c>
      <c r="B57" s="3" t="s">
        <v>5</v>
      </c>
      <c r="C57" s="3">
        <v>100</v>
      </c>
      <c r="D57" s="3" t="s">
        <v>9</v>
      </c>
      <c r="E57" s="3">
        <v>1</v>
      </c>
      <c r="F57" s="3">
        <v>0.63723483303328998</v>
      </c>
      <c r="H57" s="3">
        <v>150</v>
      </c>
      <c r="I57" s="7">
        <f>AVERAGEIFS(F:F, A:A,"valid", C:C,150)</f>
        <v>0.60635302153726456</v>
      </c>
      <c r="J57" s="7">
        <f>AVERAGEIFS(F:F, A:A,"invalid", C:C,150)</f>
        <v>0.92079974934869624</v>
      </c>
    </row>
    <row r="58" spans="1:13">
      <c r="A58" s="3" t="s">
        <v>3</v>
      </c>
      <c r="B58" s="3" t="s">
        <v>5</v>
      </c>
      <c r="C58" s="3">
        <v>150</v>
      </c>
      <c r="D58" s="3" t="s">
        <v>9</v>
      </c>
      <c r="E58" s="3">
        <v>1</v>
      </c>
      <c r="F58" s="3">
        <v>0.56894929101690705</v>
      </c>
    </row>
    <row r="59" spans="1:13">
      <c r="A59" s="3" t="s">
        <v>3</v>
      </c>
      <c r="B59" s="3" t="s">
        <v>4</v>
      </c>
      <c r="C59" s="3">
        <v>50</v>
      </c>
      <c r="D59" s="3" t="s">
        <v>8</v>
      </c>
      <c r="E59" s="3">
        <v>1</v>
      </c>
      <c r="F59" s="3">
        <v>0.62520108296303101</v>
      </c>
    </row>
    <row r="60" spans="1:13">
      <c r="A60" s="3" t="s">
        <v>3</v>
      </c>
      <c r="B60" s="3" t="s">
        <v>5</v>
      </c>
      <c r="C60" s="3">
        <v>50</v>
      </c>
      <c r="D60" s="3" t="s">
        <v>9</v>
      </c>
      <c r="E60" s="3">
        <v>1</v>
      </c>
      <c r="F60" s="3">
        <v>0.52791116602020305</v>
      </c>
    </row>
    <row r="61" spans="1:13">
      <c r="A61" s="3" t="s">
        <v>3</v>
      </c>
      <c r="B61" s="3" t="s">
        <v>4</v>
      </c>
      <c r="C61" s="3">
        <v>50</v>
      </c>
      <c r="D61" s="3" t="s">
        <v>8</v>
      </c>
      <c r="E61" s="3">
        <v>1</v>
      </c>
      <c r="F61" s="3">
        <v>0.29769687500083802</v>
      </c>
    </row>
    <row r="62" spans="1:13">
      <c r="A62" s="3" t="s">
        <v>3</v>
      </c>
      <c r="B62" s="3" t="s">
        <v>5</v>
      </c>
      <c r="C62" s="3">
        <v>150</v>
      </c>
      <c r="D62" s="3" t="s">
        <v>9</v>
      </c>
      <c r="E62" s="3">
        <v>1</v>
      </c>
      <c r="F62" s="3">
        <v>0.19243741600075701</v>
      </c>
    </row>
    <row r="63" spans="1:13">
      <c r="A63" s="3" t="s">
        <v>3</v>
      </c>
      <c r="B63" s="3" t="s">
        <v>4</v>
      </c>
      <c r="C63" s="3">
        <v>150</v>
      </c>
      <c r="D63" s="3" t="s">
        <v>8</v>
      </c>
      <c r="E63" s="3">
        <v>1</v>
      </c>
      <c r="F63" s="3">
        <v>0.208774166007061</v>
      </c>
    </row>
    <row r="64" spans="1:13">
      <c r="A64" s="3" t="s">
        <v>3</v>
      </c>
      <c r="B64" s="3" t="s">
        <v>4</v>
      </c>
      <c r="C64" s="3">
        <v>100</v>
      </c>
      <c r="D64" s="3" t="s">
        <v>8</v>
      </c>
      <c r="E64" s="3">
        <v>1</v>
      </c>
      <c r="F64" s="3">
        <v>0.50300079100998096</v>
      </c>
    </row>
    <row r="65" spans="1:6">
      <c r="A65" s="3" t="s">
        <v>3</v>
      </c>
      <c r="B65" s="3" t="s">
        <v>4</v>
      </c>
      <c r="C65" s="3">
        <v>100</v>
      </c>
      <c r="D65" s="3" t="s">
        <v>8</v>
      </c>
      <c r="E65" s="3">
        <v>1</v>
      </c>
      <c r="F65" s="3">
        <v>0.83610175002831999</v>
      </c>
    </row>
    <row r="66" spans="1:6">
      <c r="A66" s="3" t="s">
        <v>3</v>
      </c>
      <c r="B66" s="3" t="s">
        <v>5</v>
      </c>
      <c r="C66" s="3">
        <v>150</v>
      </c>
      <c r="D66" s="3" t="s">
        <v>9</v>
      </c>
      <c r="E66" s="3">
        <v>1</v>
      </c>
      <c r="F66" s="3">
        <v>0.31478474900359299</v>
      </c>
    </row>
    <row r="67" spans="1:6">
      <c r="A67" s="3" t="s">
        <v>3</v>
      </c>
      <c r="B67" s="3" t="s">
        <v>5</v>
      </c>
      <c r="C67" s="3">
        <v>150</v>
      </c>
      <c r="D67" s="3" t="s">
        <v>8</v>
      </c>
      <c r="E67" s="3">
        <v>1</v>
      </c>
      <c r="F67" s="3">
        <v>0.66016970801865704</v>
      </c>
    </row>
    <row r="68" spans="1:6">
      <c r="A68" s="3" t="s">
        <v>3</v>
      </c>
      <c r="B68" s="3" t="s">
        <v>4</v>
      </c>
      <c r="C68" s="3">
        <v>50</v>
      </c>
      <c r="D68" s="3" t="s">
        <v>8</v>
      </c>
      <c r="E68" s="3">
        <v>1</v>
      </c>
      <c r="F68" s="3">
        <v>1.4445350409951101</v>
      </c>
    </row>
    <row r="69" spans="1:6">
      <c r="A69" s="3" t="s">
        <v>3</v>
      </c>
      <c r="B69" s="3" t="s">
        <v>5</v>
      </c>
      <c r="C69" s="3">
        <v>50</v>
      </c>
      <c r="D69" s="3" t="s">
        <v>9</v>
      </c>
      <c r="E69" s="3">
        <v>1</v>
      </c>
      <c r="F69" s="3">
        <v>0.72539120703004301</v>
      </c>
    </row>
    <row r="70" spans="1:6">
      <c r="A70" s="3" t="s">
        <v>3</v>
      </c>
      <c r="B70" s="3" t="s">
        <v>5</v>
      </c>
      <c r="C70" s="3">
        <v>150</v>
      </c>
      <c r="D70" s="3" t="s">
        <v>9</v>
      </c>
      <c r="E70" s="3">
        <v>1</v>
      </c>
      <c r="F70" s="3">
        <v>0.29938091599615302</v>
      </c>
    </row>
    <row r="71" spans="1:6">
      <c r="A71" s="3" t="s">
        <v>3</v>
      </c>
      <c r="B71" s="3" t="s">
        <v>5</v>
      </c>
      <c r="C71" s="3">
        <v>150</v>
      </c>
      <c r="D71" s="3" t="s">
        <v>8</v>
      </c>
      <c r="E71" s="3">
        <v>1</v>
      </c>
      <c r="F71" s="3">
        <v>0.329004249011632</v>
      </c>
    </row>
    <row r="72" spans="1:6">
      <c r="A72" s="3" t="s">
        <v>3</v>
      </c>
      <c r="B72" s="3" t="s">
        <v>5</v>
      </c>
      <c r="C72" s="3">
        <v>100</v>
      </c>
      <c r="D72" s="3" t="s">
        <v>9</v>
      </c>
      <c r="E72" s="3">
        <v>1</v>
      </c>
      <c r="F72" s="3">
        <v>1.80467454099562</v>
      </c>
    </row>
    <row r="73" spans="1:6">
      <c r="A73" s="3" t="s">
        <v>3</v>
      </c>
      <c r="B73" s="3" t="s">
        <v>5</v>
      </c>
      <c r="C73" s="3">
        <v>100</v>
      </c>
      <c r="D73" s="3" t="s">
        <v>9</v>
      </c>
      <c r="E73" s="3">
        <v>1</v>
      </c>
      <c r="F73" s="3">
        <v>1.2244129580212799</v>
      </c>
    </row>
    <row r="74" spans="1:6">
      <c r="A74" s="3" t="s">
        <v>3</v>
      </c>
      <c r="B74" s="3" t="s">
        <v>5</v>
      </c>
      <c r="C74" s="3">
        <v>50</v>
      </c>
      <c r="D74" s="3" t="s">
        <v>9</v>
      </c>
      <c r="E74" s="3">
        <v>1</v>
      </c>
      <c r="F74" s="3">
        <v>0.64238529099384301</v>
      </c>
    </row>
    <row r="75" spans="1:6">
      <c r="A75" s="3" t="s">
        <v>3</v>
      </c>
      <c r="B75" s="3" t="s">
        <v>5</v>
      </c>
      <c r="C75" s="3">
        <v>100</v>
      </c>
      <c r="D75" s="3" t="s">
        <v>9</v>
      </c>
      <c r="E75" s="3">
        <v>1</v>
      </c>
      <c r="F75" s="3">
        <v>0.772384207986761</v>
      </c>
    </row>
    <row r="76" spans="1:6">
      <c r="A76" s="3" t="s">
        <v>3</v>
      </c>
      <c r="B76" s="3" t="s">
        <v>4</v>
      </c>
      <c r="C76" s="3">
        <v>50</v>
      </c>
      <c r="D76" s="3" t="s">
        <v>8</v>
      </c>
      <c r="E76" s="3">
        <v>1</v>
      </c>
      <c r="F76" s="3">
        <v>1.04453937499784</v>
      </c>
    </row>
    <row r="77" spans="1:6">
      <c r="A77" s="3" t="s">
        <v>3</v>
      </c>
      <c r="B77" s="3" t="s">
        <v>4</v>
      </c>
      <c r="C77" s="3">
        <v>100</v>
      </c>
      <c r="D77" s="3" t="s">
        <v>8</v>
      </c>
      <c r="E77" s="3">
        <v>1</v>
      </c>
      <c r="F77" s="3">
        <v>1.53493162401719</v>
      </c>
    </row>
    <row r="78" spans="1:6">
      <c r="A78" s="3" t="s">
        <v>3</v>
      </c>
      <c r="B78" s="3" t="s">
        <v>4</v>
      </c>
      <c r="C78" s="3">
        <v>150</v>
      </c>
      <c r="D78" s="3" t="s">
        <v>8</v>
      </c>
      <c r="E78" s="3">
        <v>1</v>
      </c>
      <c r="F78" s="3">
        <v>0.27863462397362998</v>
      </c>
    </row>
    <row r="79" spans="1:6">
      <c r="A79" s="3" t="s">
        <v>3</v>
      </c>
      <c r="B79" s="3" t="s">
        <v>4</v>
      </c>
      <c r="C79" s="3">
        <v>50</v>
      </c>
      <c r="D79" s="3" t="s">
        <v>8</v>
      </c>
      <c r="E79" s="3">
        <v>1</v>
      </c>
      <c r="F79" s="3">
        <v>0.96431179094361097</v>
      </c>
    </row>
    <row r="80" spans="1:6">
      <c r="A80" s="3" t="s">
        <v>3</v>
      </c>
      <c r="B80" s="3" t="s">
        <v>4</v>
      </c>
      <c r="C80" s="3">
        <v>50</v>
      </c>
      <c r="D80" s="3" t="s">
        <v>8</v>
      </c>
      <c r="E80" s="3">
        <v>1</v>
      </c>
      <c r="F80" s="3">
        <v>2.2465603739838098</v>
      </c>
    </row>
    <row r="81" spans="1:6">
      <c r="A81" s="3" t="s">
        <v>3</v>
      </c>
      <c r="B81" s="3" t="s">
        <v>4</v>
      </c>
      <c r="C81" s="3">
        <v>150</v>
      </c>
      <c r="D81" s="3" t="s">
        <v>8</v>
      </c>
      <c r="E81" s="3">
        <v>1</v>
      </c>
      <c r="F81" s="3">
        <v>1.18324520700844</v>
      </c>
    </row>
    <row r="82" spans="1:6">
      <c r="A82" s="3" t="s">
        <v>3</v>
      </c>
      <c r="B82" s="3" t="s">
        <v>5</v>
      </c>
      <c r="C82" s="3">
        <v>100</v>
      </c>
      <c r="D82" s="3" t="s">
        <v>9</v>
      </c>
      <c r="E82" s="3">
        <v>1</v>
      </c>
      <c r="F82" s="3">
        <v>0.83509274903917696</v>
      </c>
    </row>
    <row r="83" spans="1:6">
      <c r="A83" s="3" t="s">
        <v>3</v>
      </c>
      <c r="B83" s="3" t="s">
        <v>5</v>
      </c>
      <c r="C83" s="3">
        <v>150</v>
      </c>
      <c r="D83" s="3" t="s">
        <v>9</v>
      </c>
      <c r="E83" s="3">
        <v>1</v>
      </c>
      <c r="F83" s="3">
        <v>1.0665482080075901</v>
      </c>
    </row>
    <row r="84" spans="1:6">
      <c r="A84" s="3" t="s">
        <v>3</v>
      </c>
      <c r="B84" s="3" t="s">
        <v>5</v>
      </c>
      <c r="C84" s="3">
        <v>50</v>
      </c>
      <c r="D84" s="3" t="s">
        <v>9</v>
      </c>
      <c r="E84" s="3">
        <v>1</v>
      </c>
      <c r="F84" s="3">
        <v>1.49091729102656</v>
      </c>
    </row>
    <row r="85" spans="1:6">
      <c r="A85" s="3" t="s">
        <v>3</v>
      </c>
      <c r="B85" s="3" t="s">
        <v>5</v>
      </c>
      <c r="C85" s="3">
        <v>50</v>
      </c>
      <c r="D85" s="3" t="s">
        <v>9</v>
      </c>
      <c r="E85" s="3">
        <v>1</v>
      </c>
      <c r="F85" s="3">
        <v>0.972877540974878</v>
      </c>
    </row>
    <row r="86" spans="1:6">
      <c r="A86" s="3" t="s">
        <v>3</v>
      </c>
      <c r="B86" s="3" t="s">
        <v>4</v>
      </c>
      <c r="C86" s="3">
        <v>50</v>
      </c>
      <c r="D86" s="3" t="s">
        <v>8</v>
      </c>
      <c r="E86" s="3">
        <v>1</v>
      </c>
      <c r="F86" s="3">
        <v>0.57762437401106603</v>
      </c>
    </row>
    <row r="87" spans="1:6">
      <c r="A87" s="3" t="s">
        <v>3</v>
      </c>
      <c r="B87" s="3" t="s">
        <v>4</v>
      </c>
      <c r="C87" s="3">
        <v>50</v>
      </c>
      <c r="D87" s="3" t="s">
        <v>8</v>
      </c>
      <c r="E87" s="3">
        <v>1</v>
      </c>
      <c r="F87" s="3">
        <v>0.70473120699170999</v>
      </c>
    </row>
    <row r="88" spans="1:6">
      <c r="A88" s="3" t="s">
        <v>3</v>
      </c>
      <c r="B88" s="3" t="s">
        <v>4</v>
      </c>
      <c r="C88" s="3">
        <v>100</v>
      </c>
      <c r="D88" s="3" t="s">
        <v>8</v>
      </c>
      <c r="E88" s="3">
        <v>1</v>
      </c>
      <c r="F88" s="3">
        <v>0.96282545698341004</v>
      </c>
    </row>
    <row r="89" spans="1:6">
      <c r="A89" s="3" t="s">
        <v>3</v>
      </c>
      <c r="B89" s="3" t="s">
        <v>4</v>
      </c>
      <c r="C89" s="3">
        <v>50</v>
      </c>
      <c r="D89" s="3" t="s">
        <v>8</v>
      </c>
      <c r="E89" s="3">
        <v>1</v>
      </c>
      <c r="F89" s="3">
        <v>0.57773637399077404</v>
      </c>
    </row>
    <row r="90" spans="1:6">
      <c r="A90" s="3" t="s">
        <v>3</v>
      </c>
      <c r="B90" s="3" t="s">
        <v>4</v>
      </c>
      <c r="C90" s="3">
        <v>150</v>
      </c>
      <c r="D90" s="3" t="s">
        <v>8</v>
      </c>
      <c r="E90" s="3">
        <v>1</v>
      </c>
      <c r="F90" s="3">
        <v>1.3746283740038101</v>
      </c>
    </row>
    <row r="91" spans="1:6">
      <c r="A91" s="3" t="s">
        <v>3</v>
      </c>
      <c r="B91" s="3" t="s">
        <v>5</v>
      </c>
      <c r="C91" s="3">
        <v>100</v>
      </c>
      <c r="D91" s="3" t="s">
        <v>9</v>
      </c>
      <c r="E91" s="3">
        <v>1</v>
      </c>
      <c r="F91" s="3">
        <v>0.78019420697819397</v>
      </c>
    </row>
    <row r="92" spans="1:6">
      <c r="A92" s="3" t="s">
        <v>3</v>
      </c>
      <c r="B92" s="3" t="s">
        <v>5</v>
      </c>
      <c r="C92" s="3">
        <v>50</v>
      </c>
      <c r="D92" s="3" t="s">
        <v>9</v>
      </c>
      <c r="E92" s="3">
        <v>1</v>
      </c>
      <c r="F92" s="3">
        <v>1.84504583303351</v>
      </c>
    </row>
    <row r="93" spans="1:6">
      <c r="A93" s="3" t="s">
        <v>3</v>
      </c>
      <c r="B93" s="3" t="s">
        <v>5</v>
      </c>
      <c r="C93" s="3">
        <v>50</v>
      </c>
      <c r="D93" s="3" t="s">
        <v>9</v>
      </c>
      <c r="E93" s="3">
        <v>1</v>
      </c>
      <c r="F93" s="3">
        <v>0.80895416601560999</v>
      </c>
    </row>
    <row r="94" spans="1:6">
      <c r="A94" s="3" t="s">
        <v>3</v>
      </c>
      <c r="B94" s="3" t="s">
        <v>4</v>
      </c>
      <c r="C94" s="3">
        <v>150</v>
      </c>
      <c r="D94" s="3" t="s">
        <v>8</v>
      </c>
      <c r="E94" s="3">
        <v>1</v>
      </c>
      <c r="F94" s="3">
        <v>0.83411266602343004</v>
      </c>
    </row>
    <row r="95" spans="1:6">
      <c r="A95" s="3" t="s">
        <v>3</v>
      </c>
      <c r="B95" s="3" t="s">
        <v>5</v>
      </c>
      <c r="C95" s="3">
        <v>100</v>
      </c>
      <c r="D95" s="3" t="s">
        <v>9</v>
      </c>
      <c r="E95" s="3">
        <v>1</v>
      </c>
      <c r="F95" s="3">
        <v>0.89002108300337601</v>
      </c>
    </row>
    <row r="96" spans="1:6">
      <c r="A96" s="3" t="s">
        <v>3</v>
      </c>
      <c r="B96" s="3" t="s">
        <v>4</v>
      </c>
      <c r="C96" s="3">
        <v>150</v>
      </c>
      <c r="D96" s="3" t="s">
        <v>8</v>
      </c>
      <c r="E96" s="3">
        <v>1</v>
      </c>
      <c r="F96" s="3">
        <v>0.61571958300191898</v>
      </c>
    </row>
    <row r="97" spans="1:6">
      <c r="A97" s="3" t="s">
        <v>3</v>
      </c>
      <c r="B97" s="3" t="s">
        <v>5</v>
      </c>
      <c r="C97" s="3">
        <v>100</v>
      </c>
      <c r="D97" s="3" t="s">
        <v>9</v>
      </c>
      <c r="E97" s="3">
        <v>1</v>
      </c>
      <c r="F97" s="3">
        <v>1.0069703320041301</v>
      </c>
    </row>
    <row r="98" spans="1:6">
      <c r="A98" s="3" t="s">
        <v>3</v>
      </c>
      <c r="B98" s="3" t="s">
        <v>5</v>
      </c>
      <c r="C98" s="3">
        <v>50</v>
      </c>
      <c r="D98" s="3" t="s">
        <v>9</v>
      </c>
      <c r="E98" s="3">
        <v>1</v>
      </c>
      <c r="F98" s="3">
        <v>1.11542616598308</v>
      </c>
    </row>
  </sheetData>
  <sortState xmlns:xlrd2="http://schemas.microsoft.com/office/spreadsheetml/2017/richdata2" ref="A3:A98">
    <sortCondition ref="A3:A9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073F-6118-274D-84D4-09889B32907A}">
  <dimension ref="A1:L36"/>
  <sheetViews>
    <sheetView tabSelected="1" workbookViewId="0">
      <selection activeCell="E11" sqref="E11"/>
    </sheetView>
  </sheetViews>
  <sheetFormatPr baseColWidth="10" defaultRowHeight="16"/>
  <cols>
    <col min="2" max="2" width="13.83203125" customWidth="1"/>
    <col min="6" max="6" width="19.33203125" customWidth="1"/>
  </cols>
  <sheetData>
    <row r="1" spans="1:12">
      <c r="A1" s="5"/>
      <c r="B1" s="6" t="s">
        <v>16</v>
      </c>
      <c r="C1" s="6" t="s">
        <v>15</v>
      </c>
      <c r="D1" s="6" t="s">
        <v>14</v>
      </c>
      <c r="F1" s="6" t="s">
        <v>16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  <row r="2" spans="1:12" ht="18">
      <c r="A2" s="6" t="s">
        <v>12</v>
      </c>
      <c r="B2" s="5">
        <v>1</v>
      </c>
      <c r="C2" s="5">
        <f>AVERAGE('P1'!I4:I51)</f>
        <v>0.26354270454127499</v>
      </c>
      <c r="D2" s="5">
        <f>AVERAGE('P1'!L4:L49)</f>
        <v>0.20720756845295671</v>
      </c>
      <c r="E2" s="3"/>
      <c r="F2" s="5">
        <v>1</v>
      </c>
      <c r="G2" s="8">
        <v>0.25472015004682663</v>
      </c>
      <c r="H2" s="8">
        <v>0.21761115646907395</v>
      </c>
      <c r="I2" s="8">
        <v>0.11338143527444272</v>
      </c>
      <c r="J2" s="8">
        <v>0.31735602349259107</v>
      </c>
      <c r="K2" s="8">
        <v>0.31737216050636829</v>
      </c>
      <c r="L2" s="8">
        <v>0.18819276209978847</v>
      </c>
    </row>
    <row r="3" spans="1:12" ht="18">
      <c r="A3" s="6" t="s">
        <v>12</v>
      </c>
      <c r="B3" s="5">
        <v>2</v>
      </c>
      <c r="C3" s="5">
        <f>AVERAGE('P2'!J4:J50)</f>
        <v>0.20682954218763702</v>
      </c>
      <c r="D3" s="5">
        <f>AVERAGE('P2'!M4:M51)</f>
        <v>0.21587939200253459</v>
      </c>
      <c r="E3" s="3"/>
      <c r="F3" s="8">
        <v>2</v>
      </c>
      <c r="G3" s="8">
        <v>0.26282959413947543</v>
      </c>
      <c r="H3" s="8">
        <v>0.25710374236052086</v>
      </c>
      <c r="I3" s="8">
        <v>0.12806270524379221</v>
      </c>
      <c r="J3" s="8">
        <v>0.25853811937849974</v>
      </c>
      <c r="K3" s="8">
        <v>0.2281624301879977</v>
      </c>
      <c r="L3" s="8">
        <v>0.13512138249643618</v>
      </c>
    </row>
    <row r="4" spans="1:12" ht="18">
      <c r="A4" s="6" t="s">
        <v>12</v>
      </c>
      <c r="B4" s="5">
        <v>3</v>
      </c>
      <c r="C4" s="5">
        <f>AVERAGE('P3'!J4:J51)</f>
        <v>0.14149730570716204</v>
      </c>
      <c r="D4" s="5">
        <f>AVERAGE('P3'!M4:M49)</f>
        <v>0.13575413056305083</v>
      </c>
      <c r="E4" s="3"/>
      <c r="F4" s="8">
        <v>3</v>
      </c>
      <c r="G4" s="8">
        <v>0.18282273181830525</v>
      </c>
      <c r="H4" s="8">
        <v>0.15354677135645239</v>
      </c>
      <c r="I4" s="8">
        <v>8.4736594765940143E-2</v>
      </c>
      <c r="J4" s="8">
        <v>0.154428251618002</v>
      </c>
      <c r="K4" s="8">
        <v>0.13129219373610485</v>
      </c>
      <c r="L4" s="8">
        <v>0.13618528258521112</v>
      </c>
    </row>
    <row r="5" spans="1:12" ht="18">
      <c r="A5" s="6" t="s">
        <v>12</v>
      </c>
      <c r="B5" s="5">
        <v>4</v>
      </c>
      <c r="C5" s="5">
        <f>AVERAGE('P4'!J4:J51)</f>
        <v>0.17672549823328157</v>
      </c>
      <c r="D5" s="5">
        <f>AVERAGE('P4'!M4:M51)</f>
        <v>0.15401257384049438</v>
      </c>
      <c r="E5" s="3"/>
      <c r="F5" s="8">
        <v>4</v>
      </c>
      <c r="G5" s="8">
        <v>0.1951839445724286</v>
      </c>
      <c r="H5" s="8">
        <v>0.13805333063646696</v>
      </c>
      <c r="I5" s="8">
        <v>9.8626128921750933E-2</v>
      </c>
      <c r="J5" s="8">
        <v>0.23922829154815364</v>
      </c>
      <c r="K5" s="8">
        <v>0.169065854188375</v>
      </c>
      <c r="L5" s="8">
        <v>0.14982185910256321</v>
      </c>
    </row>
    <row r="6" spans="1:12" ht="18">
      <c r="A6" s="12" t="s">
        <v>12</v>
      </c>
      <c r="B6" s="13">
        <v>5</v>
      </c>
      <c r="C6" s="5">
        <f>AVERAGE('P5'!J4:J51)</f>
        <v>0.97715971024930159</v>
      </c>
      <c r="D6" s="5">
        <f>AVERAGE('P5'!M4:M50)</f>
        <v>0.83624534591774846</v>
      </c>
      <c r="F6" s="8">
        <v>5</v>
      </c>
      <c r="G6" s="8">
        <v>0.97716736205620691</v>
      </c>
      <c r="H6" s="8">
        <v>0.90642605200797965</v>
      </c>
      <c r="I6" s="8">
        <v>0.60635302153726456</v>
      </c>
      <c r="J6" s="8">
        <v>1.1203517688011446</v>
      </c>
      <c r="K6" s="8">
        <v>0.902799613813841</v>
      </c>
      <c r="L6" s="8">
        <v>0.92079974934869624</v>
      </c>
    </row>
    <row r="7" spans="1:12">
      <c r="A7" s="14" t="s">
        <v>31</v>
      </c>
      <c r="B7" s="11"/>
      <c r="C7" s="11">
        <f>AVERAGE(C2:C6)</f>
        <v>0.35315095218373144</v>
      </c>
      <c r="D7" s="5">
        <f>AVERAGE(D2:D6)</f>
        <v>0.30981980215535698</v>
      </c>
      <c r="F7" s="6" t="s">
        <v>12</v>
      </c>
      <c r="G7" s="5">
        <f>AVERAGE(G2:G6)</f>
        <v>0.37454475652664854</v>
      </c>
      <c r="H7" s="5">
        <f>AVERAGE(H2:H6)</f>
        <v>0.33454821056609879</v>
      </c>
      <c r="I7" s="5">
        <f>AVERAGE(I2:I6)</f>
        <v>0.20623197714863811</v>
      </c>
      <c r="J7" s="5">
        <f>AVERAGE(J2:J6)</f>
        <v>0.41798049096767825</v>
      </c>
      <c r="K7" s="5">
        <f>AVERAGE(K2:K6)</f>
        <v>0.3497384504865374</v>
      </c>
      <c r="L7" s="5">
        <f>AVERAGE(L2:L6)</f>
        <v>0.30602420712653905</v>
      </c>
    </row>
    <row r="8" spans="1:12">
      <c r="A8" s="10"/>
      <c r="B8" s="10" t="s">
        <v>26</v>
      </c>
      <c r="C8" s="10"/>
    </row>
    <row r="9" spans="1:12">
      <c r="A9" s="9" t="s">
        <v>17</v>
      </c>
      <c r="B9" s="5" t="s">
        <v>14</v>
      </c>
      <c r="C9" s="5" t="s">
        <v>15</v>
      </c>
    </row>
    <row r="10" spans="1:12" ht="18">
      <c r="A10" s="9">
        <v>50</v>
      </c>
      <c r="B10" s="8">
        <v>0.25472015004682663</v>
      </c>
      <c r="C10" s="8">
        <v>0.31735602349259107</v>
      </c>
      <c r="F10" s="5" t="s">
        <v>16</v>
      </c>
      <c r="G10" s="5" t="s">
        <v>30</v>
      </c>
      <c r="J10" s="5" t="s">
        <v>16</v>
      </c>
      <c r="K10" s="5" t="s">
        <v>14</v>
      </c>
      <c r="L10" s="5" t="s">
        <v>15</v>
      </c>
    </row>
    <row r="11" spans="1:12" ht="18">
      <c r="A11" s="9">
        <v>100</v>
      </c>
      <c r="B11" s="8">
        <v>0.21761115646907395</v>
      </c>
      <c r="C11" s="8">
        <v>0.31737216050636829</v>
      </c>
      <c r="F11" s="5">
        <v>1</v>
      </c>
      <c r="G11" s="5">
        <f>94/96*100</f>
        <v>97.916666666666657</v>
      </c>
      <c r="J11" s="5">
        <v>1</v>
      </c>
      <c r="K11" s="5">
        <v>100</v>
      </c>
      <c r="L11" s="5">
        <v>95.833333333333343</v>
      </c>
    </row>
    <row r="12" spans="1:12" ht="18">
      <c r="A12" s="9">
        <v>150</v>
      </c>
      <c r="B12" s="8">
        <v>0.11338143527444272</v>
      </c>
      <c r="C12" s="8">
        <v>0.18819276209978847</v>
      </c>
      <c r="F12" s="5">
        <v>2</v>
      </c>
      <c r="G12" s="5">
        <f>95/96*100</f>
        <v>98.958333333333343</v>
      </c>
      <c r="J12" s="5">
        <v>2</v>
      </c>
      <c r="K12" s="5">
        <v>97.916666666666657</v>
      </c>
      <c r="L12" s="5">
        <v>100</v>
      </c>
    </row>
    <row r="13" spans="1:12">
      <c r="F13" s="5">
        <v>3</v>
      </c>
      <c r="G13" s="5">
        <f>94/96*100</f>
        <v>97.916666666666657</v>
      </c>
      <c r="J13" s="5">
        <v>3</v>
      </c>
      <c r="K13" s="5">
        <v>100</v>
      </c>
      <c r="L13" s="5">
        <v>95.833333333333343</v>
      </c>
    </row>
    <row r="14" spans="1:12">
      <c r="A14" s="5"/>
      <c r="B14" s="5" t="s">
        <v>27</v>
      </c>
      <c r="C14" s="5"/>
      <c r="F14" s="5">
        <v>4</v>
      </c>
      <c r="G14" s="5">
        <f>96/96*100</f>
        <v>100</v>
      </c>
      <c r="J14" s="5">
        <v>4</v>
      </c>
      <c r="K14" s="5">
        <v>100</v>
      </c>
      <c r="L14" s="5">
        <v>100</v>
      </c>
    </row>
    <row r="15" spans="1:12">
      <c r="A15" s="9" t="s">
        <v>17</v>
      </c>
      <c r="B15" s="5" t="s">
        <v>14</v>
      </c>
      <c r="C15" s="5" t="s">
        <v>15</v>
      </c>
      <c r="F15" s="5">
        <v>5</v>
      </c>
      <c r="G15" s="5">
        <f>94/96*100</f>
        <v>97.916666666666657</v>
      </c>
      <c r="J15" s="5">
        <v>5</v>
      </c>
      <c r="K15" s="5">
        <v>100</v>
      </c>
      <c r="L15" s="5">
        <v>97.916666666666657</v>
      </c>
    </row>
    <row r="16" spans="1:12" ht="18">
      <c r="A16" s="9">
        <v>50</v>
      </c>
      <c r="B16" s="8">
        <v>0.26282959413947543</v>
      </c>
      <c r="C16" s="8">
        <v>0.25853811937849974</v>
      </c>
    </row>
    <row r="17" spans="1:3" ht="18">
      <c r="A17" s="9">
        <v>100</v>
      </c>
      <c r="B17" s="8">
        <v>0.25710374236052086</v>
      </c>
      <c r="C17" s="8">
        <v>0.2281624301879977</v>
      </c>
    </row>
    <row r="18" spans="1:3" ht="18">
      <c r="A18" s="9">
        <v>150</v>
      </c>
      <c r="B18" s="8">
        <v>0.12806270524379221</v>
      </c>
      <c r="C18" s="8">
        <v>0.13512138249643618</v>
      </c>
    </row>
    <row r="20" spans="1:3">
      <c r="A20" s="5"/>
      <c r="B20" s="5" t="s">
        <v>25</v>
      </c>
      <c r="C20" s="5"/>
    </row>
    <row r="21" spans="1:3">
      <c r="A21" s="9" t="s">
        <v>17</v>
      </c>
      <c r="B21" s="5" t="s">
        <v>14</v>
      </c>
      <c r="C21" s="5" t="s">
        <v>15</v>
      </c>
    </row>
    <row r="22" spans="1:3" ht="18">
      <c r="A22" s="9">
        <v>50</v>
      </c>
      <c r="B22" s="8">
        <v>0.18282273181830525</v>
      </c>
      <c r="C22" s="8">
        <v>0.154428251618002</v>
      </c>
    </row>
    <row r="23" spans="1:3" ht="18">
      <c r="A23" s="9">
        <v>100</v>
      </c>
      <c r="B23" s="8">
        <v>0.15354677135645239</v>
      </c>
      <c r="C23" s="8">
        <v>0.13129219373610485</v>
      </c>
    </row>
    <row r="24" spans="1:3" ht="18">
      <c r="A24" s="9">
        <v>150</v>
      </c>
      <c r="B24" s="8">
        <v>8.4736594765940143E-2</v>
      </c>
      <c r="C24" s="8">
        <v>0.13618528258521112</v>
      </c>
    </row>
    <row r="26" spans="1:3">
      <c r="A26" s="5"/>
      <c r="B26" s="5" t="s">
        <v>28</v>
      </c>
      <c r="C26" s="5"/>
    </row>
    <row r="27" spans="1:3">
      <c r="A27" s="9" t="s">
        <v>17</v>
      </c>
      <c r="B27" s="5" t="s">
        <v>14</v>
      </c>
      <c r="C27" s="5" t="s">
        <v>15</v>
      </c>
    </row>
    <row r="28" spans="1:3" ht="18">
      <c r="A28" s="9">
        <v>50</v>
      </c>
      <c r="B28" s="8">
        <v>0.1951839445724286</v>
      </c>
      <c r="C28" s="8">
        <v>0.23922829154815364</v>
      </c>
    </row>
    <row r="29" spans="1:3" ht="18">
      <c r="A29" s="9">
        <v>100</v>
      </c>
      <c r="B29" s="8">
        <v>0.13805333063646696</v>
      </c>
      <c r="C29" s="8">
        <v>0.169065854188375</v>
      </c>
    </row>
    <row r="30" spans="1:3" ht="18">
      <c r="A30" s="9">
        <v>150</v>
      </c>
      <c r="B30" s="8">
        <v>9.8626128921750933E-2</v>
      </c>
      <c r="C30" s="8">
        <v>0.14982185910256321</v>
      </c>
    </row>
    <row r="32" spans="1:3">
      <c r="A32" s="5"/>
      <c r="B32" s="5" t="s">
        <v>24</v>
      </c>
      <c r="C32" s="5"/>
    </row>
    <row r="33" spans="1:3">
      <c r="A33" s="9" t="s">
        <v>17</v>
      </c>
      <c r="B33" s="5" t="s">
        <v>14</v>
      </c>
      <c r="C33" s="5" t="s">
        <v>15</v>
      </c>
    </row>
    <row r="34" spans="1:3" ht="18">
      <c r="A34" s="9">
        <v>50</v>
      </c>
      <c r="B34" s="8">
        <v>0.97716736205620691</v>
      </c>
      <c r="C34" s="8">
        <v>1.1203517688011446</v>
      </c>
    </row>
    <row r="35" spans="1:3" ht="18">
      <c r="A35" s="9">
        <v>100</v>
      </c>
      <c r="B35" s="8">
        <v>0.90642605200797965</v>
      </c>
      <c r="C35" s="8">
        <v>0.902799613813841</v>
      </c>
    </row>
    <row r="36" spans="1:3" ht="18">
      <c r="A36" s="9">
        <v>150</v>
      </c>
      <c r="B36" s="8">
        <v>0.60635302153726456</v>
      </c>
      <c r="C36" s="8">
        <v>0.92079974934869624</v>
      </c>
    </row>
  </sheetData>
  <pageMargins left="0.7" right="0.7" top="0.75" bottom="0.75" header="0.3" footer="0.3"/>
  <ignoredErrors>
    <ignoredError sqref="G12 G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2025-11-19T04:35:59Z</dcterms:created>
  <dcterms:modified xsi:type="dcterms:W3CDTF">2025-11-22T07:49:27Z</dcterms:modified>
</cp:coreProperties>
</file>